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5.xml" ContentType="application/vnd.openxmlformats-officedocument.spreadsheetml.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4DEE875F-18DF-4DF3-8FAC-A66216D28AC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verView" sheetId="2" r:id="rId1"/>
    <sheet name="Functions" sheetId="3" r:id="rId2"/>
    <sheet name="Sheet9" sheetId="16" r:id="rId3"/>
    <sheet name="Sheet6" sheetId="9" r:id="rId4"/>
    <sheet name="Employees" sheetId="1" r:id="rId5"/>
    <sheet name="Sheet7" sheetId="10" r:id="rId6"/>
  </sheets>
  <definedNames>
    <definedName name="_xlcn.WorksheetConnection_Question.xlsxTable21" hidden="1">Table2[]</definedName>
  </definedNames>
  <calcPr calcId="191029"/>
  <pivotCaches>
    <pivotCache cacheId="0" r:id="rId7"/>
    <pivotCache cacheId="1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Question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90" i="1" l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H173" i="3"/>
  <c r="F138" i="3"/>
  <c r="N137" i="3"/>
  <c r="F137" i="3"/>
  <c r="N136" i="3"/>
  <c r="F136" i="3"/>
  <c r="N135" i="3"/>
  <c r="F135" i="3"/>
  <c r="N134" i="3"/>
  <c r="F134" i="3"/>
  <c r="N133" i="3"/>
  <c r="F133" i="3"/>
  <c r="N132" i="3"/>
  <c r="F132" i="3"/>
  <c r="N131" i="3"/>
  <c r="F131" i="3"/>
  <c r="N130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J105" i="3"/>
  <c r="J104" i="3"/>
  <c r="J103" i="3"/>
  <c r="J102" i="3"/>
  <c r="F95" i="3"/>
  <c r="F94" i="3"/>
  <c r="F93" i="3"/>
  <c r="F91" i="3"/>
  <c r="F90" i="3"/>
  <c r="F89" i="3"/>
  <c r="F88" i="3"/>
  <c r="F87" i="3"/>
  <c r="F85" i="3"/>
  <c r="F84" i="3"/>
  <c r="F83" i="3"/>
  <c r="F82" i="3"/>
  <c r="F81" i="3"/>
  <c r="F80" i="3"/>
  <c r="F79" i="3"/>
  <c r="F78" i="3"/>
  <c r="F77" i="3"/>
  <c r="J71" i="3"/>
  <c r="F71" i="3"/>
  <c r="J70" i="3"/>
  <c r="F70" i="3"/>
  <c r="J69" i="3"/>
  <c r="F69" i="3"/>
  <c r="J68" i="3"/>
  <c r="F68" i="3"/>
  <c r="J67" i="3"/>
  <c r="F67" i="3"/>
  <c r="J66" i="3"/>
  <c r="F66" i="3"/>
  <c r="J65" i="3"/>
  <c r="F65" i="3"/>
  <c r="J64" i="3"/>
  <c r="F64" i="3"/>
  <c r="J63" i="3"/>
  <c r="F63" i="3"/>
  <c r="J62" i="3"/>
  <c r="F62" i="3"/>
  <c r="J61" i="3"/>
  <c r="F61" i="3"/>
  <c r="J60" i="3"/>
  <c r="F60" i="3"/>
  <c r="J59" i="3"/>
  <c r="F59" i="3"/>
  <c r="J58" i="3"/>
  <c r="F58" i="3"/>
  <c r="J57" i="3"/>
  <c r="F57" i="3"/>
  <c r="J56" i="3"/>
  <c r="F56" i="3"/>
  <c r="J55" i="3"/>
  <c r="F55" i="3"/>
  <c r="J54" i="3"/>
  <c r="F54" i="3"/>
  <c r="J53" i="3"/>
  <c r="F53" i="3"/>
  <c r="L25" i="3"/>
  <c r="I25" i="3"/>
  <c r="F25" i="3"/>
  <c r="C25" i="3"/>
  <c r="L24" i="3"/>
  <c r="I24" i="3"/>
  <c r="F24" i="3"/>
  <c r="C24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D39" i="2"/>
  <c r="D38" i="2"/>
  <c r="W37" i="2"/>
  <c r="D37" i="2"/>
  <c r="D36" i="2"/>
  <c r="O28" i="2"/>
  <c r="O27" i="2"/>
  <c r="O26" i="2"/>
  <c r="K26" i="2"/>
  <c r="M22" i="2"/>
  <c r="M21" i="2"/>
  <c r="M20" i="2"/>
  <c r="M19" i="2"/>
  <c r="M1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1FB05-7C34-46ED-9DFC-BC585580465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F7638C2-8307-46D9-9BD1-DFD7A3DA8EE9}" name="WorksheetConnection_Question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Question.xlsxTable21"/>
        </x15:connection>
      </ext>
    </extLst>
  </connection>
</connections>
</file>

<file path=xl/sharedStrings.xml><?xml version="1.0" encoding="utf-8"?>
<sst xmlns="http://schemas.openxmlformats.org/spreadsheetml/2006/main" count="4838" uniqueCount="1007">
  <si>
    <t>First Name</t>
  </si>
  <si>
    <t>Last Name</t>
  </si>
  <si>
    <t>Gender</t>
  </si>
  <si>
    <t>Start Date</t>
  </si>
  <si>
    <t>Years</t>
  </si>
  <si>
    <t>Department</t>
  </si>
  <si>
    <t>Country</t>
  </si>
  <si>
    <t>Center</t>
  </si>
  <si>
    <t>Monthly Salary</t>
  </si>
  <si>
    <t>Annual Salary</t>
  </si>
  <si>
    <t>Job Rate</t>
  </si>
  <si>
    <t>Sick Leaves</t>
  </si>
  <si>
    <t>Unpaid Leaves</t>
  </si>
  <si>
    <t>Overtime Hours</t>
  </si>
  <si>
    <t>Ghadir</t>
  </si>
  <si>
    <t>Hmshw</t>
  </si>
  <si>
    <t>Quality Control</t>
  </si>
  <si>
    <t>Egypt</t>
  </si>
  <si>
    <t>West</t>
  </si>
  <si>
    <t>Omar</t>
  </si>
  <si>
    <t>Hishan</t>
  </si>
  <si>
    <t>Saudi Arabia</t>
  </si>
  <si>
    <t>Ailya</t>
  </si>
  <si>
    <t>Sharaf</t>
  </si>
  <si>
    <t>Major Mfg Projects</t>
  </si>
  <si>
    <t>Lwiy</t>
  </si>
  <si>
    <t>Qbany</t>
  </si>
  <si>
    <t>Manufacturing</t>
  </si>
  <si>
    <t>United Arab Emirates</t>
  </si>
  <si>
    <t>Ahmad</t>
  </si>
  <si>
    <t>Bikri</t>
  </si>
  <si>
    <t>Male</t>
  </si>
  <si>
    <t>Muhamad</t>
  </si>
  <si>
    <t>Zueitr</t>
  </si>
  <si>
    <t>Product Development</t>
  </si>
  <si>
    <t>North</t>
  </si>
  <si>
    <t>Iin</t>
  </si>
  <si>
    <t>Alhalaliu</t>
  </si>
  <si>
    <t>Sales</t>
  </si>
  <si>
    <t>Alaya</t>
  </si>
  <si>
    <t>Account Management</t>
  </si>
  <si>
    <t>Main</t>
  </si>
  <si>
    <t>Susin</t>
  </si>
  <si>
    <t>Almilat</t>
  </si>
  <si>
    <t>Green Building</t>
  </si>
  <si>
    <t>Alrifaei</t>
  </si>
  <si>
    <t>Alqadah</t>
  </si>
  <si>
    <t>Syria</t>
  </si>
  <si>
    <t>Iad</t>
  </si>
  <si>
    <t>IT</t>
  </si>
  <si>
    <t>Razaan</t>
  </si>
  <si>
    <t>Nasif</t>
  </si>
  <si>
    <t>Facilities/Engineering</t>
  </si>
  <si>
    <t>Iilian</t>
  </si>
  <si>
    <t>Dbs</t>
  </si>
  <si>
    <t>Bayan</t>
  </si>
  <si>
    <t>Qdw</t>
  </si>
  <si>
    <t>Marketing</t>
  </si>
  <si>
    <t>Alaa</t>
  </si>
  <si>
    <t>South</t>
  </si>
  <si>
    <t>Sandra</t>
  </si>
  <si>
    <t>Aljurmqaniu</t>
  </si>
  <si>
    <t>Farahad</t>
  </si>
  <si>
    <t>Husayn</t>
  </si>
  <si>
    <t>Ahed</t>
  </si>
  <si>
    <t>Salim</t>
  </si>
  <si>
    <t>Ayham</t>
  </si>
  <si>
    <t>Tutwnji</t>
  </si>
  <si>
    <t>Samir</t>
  </si>
  <si>
    <t>Alsafdi</t>
  </si>
  <si>
    <t>Bilal</t>
  </si>
  <si>
    <t>Jalal</t>
  </si>
  <si>
    <t>Manufacturing Admin</t>
  </si>
  <si>
    <t>Riad</t>
  </si>
  <si>
    <t>Sahalul</t>
  </si>
  <si>
    <t>Training</t>
  </si>
  <si>
    <t>Quality Assurance</t>
  </si>
  <si>
    <t>Altarah</t>
  </si>
  <si>
    <t>Lwna</t>
  </si>
  <si>
    <t>Abu</t>
  </si>
  <si>
    <t>Almuluhi</t>
  </si>
  <si>
    <t>Rana</t>
  </si>
  <si>
    <t>Mius</t>
  </si>
  <si>
    <t>Lina</t>
  </si>
  <si>
    <t>Aljabaan</t>
  </si>
  <si>
    <t>Rami</t>
  </si>
  <si>
    <t>Shanan</t>
  </si>
  <si>
    <t>Professional Training Group</t>
  </si>
  <si>
    <t>Eala</t>
  </si>
  <si>
    <t>Alhaj</t>
  </si>
  <si>
    <t>Ghalib</t>
  </si>
  <si>
    <t>Zakianiin</t>
  </si>
  <si>
    <t>Environmental Compliance</t>
  </si>
  <si>
    <t>Eurul</t>
  </si>
  <si>
    <t>Eizat</t>
  </si>
  <si>
    <t>Ghanim</t>
  </si>
  <si>
    <t>Swyd</t>
  </si>
  <si>
    <t>Aleass</t>
  </si>
  <si>
    <t>Rima</t>
  </si>
  <si>
    <t>AlAsfar</t>
  </si>
  <si>
    <t>Zayn</t>
  </si>
  <si>
    <t>Aleabdyn Zaetar</t>
  </si>
  <si>
    <t>Hazim</t>
  </si>
  <si>
    <t>Alshshatim</t>
  </si>
  <si>
    <t>Dia</t>
  </si>
  <si>
    <t>Alshahf</t>
  </si>
  <si>
    <t>Almusaa</t>
  </si>
  <si>
    <t>Abd Allatif</t>
  </si>
  <si>
    <t>Mabrukh</t>
  </si>
  <si>
    <t>Abumaeun</t>
  </si>
  <si>
    <t>Rafat</t>
  </si>
  <si>
    <t>Hamza</t>
  </si>
  <si>
    <t>Laylana</t>
  </si>
  <si>
    <t>Lobnaa</t>
  </si>
  <si>
    <t>Khalifih</t>
  </si>
  <si>
    <t>Sami</t>
  </si>
  <si>
    <t>Alkhujih</t>
  </si>
  <si>
    <t>Creative</t>
  </si>
  <si>
    <t>Salam</t>
  </si>
  <si>
    <t>Alealbi</t>
  </si>
  <si>
    <t>Rim</t>
  </si>
  <si>
    <t>Ghada</t>
  </si>
  <si>
    <t>Aleasimii</t>
  </si>
  <si>
    <t>Abd Alwahhab</t>
  </si>
  <si>
    <t>Ayman</t>
  </si>
  <si>
    <t>Eubayd</t>
  </si>
  <si>
    <t>Faras</t>
  </si>
  <si>
    <t>Karim</t>
  </si>
  <si>
    <t>Shadi</t>
  </si>
  <si>
    <t>Salayk</t>
  </si>
  <si>
    <t>Eubay</t>
  </si>
  <si>
    <t>Alttahir</t>
  </si>
  <si>
    <t>Abd Alhadi</t>
  </si>
  <si>
    <t>Alzzahir</t>
  </si>
  <si>
    <t>Majdulin</t>
  </si>
  <si>
    <t>Ashbrh</t>
  </si>
  <si>
    <t>Aylyn</t>
  </si>
  <si>
    <t>Dahadal</t>
  </si>
  <si>
    <t>Tala</t>
  </si>
  <si>
    <t>Tuish</t>
  </si>
  <si>
    <t>Qarh</t>
  </si>
  <si>
    <t>Almisri</t>
  </si>
  <si>
    <t>Alzaybq</t>
  </si>
  <si>
    <t>Research/Development</t>
  </si>
  <si>
    <t>Asamy</t>
  </si>
  <si>
    <t>Ibrahim</t>
  </si>
  <si>
    <t>Almasri</t>
  </si>
  <si>
    <t>Hamdah</t>
  </si>
  <si>
    <t>Alkhalifa</t>
  </si>
  <si>
    <t>Jawish</t>
  </si>
  <si>
    <t>Muwmin</t>
  </si>
  <si>
    <t>Almudhin</t>
  </si>
  <si>
    <t>Zayd</t>
  </si>
  <si>
    <t>Layzaan</t>
  </si>
  <si>
    <t>Nabulsi</t>
  </si>
  <si>
    <t>Sarih</t>
  </si>
  <si>
    <t>Eammar</t>
  </si>
  <si>
    <t>Karam</t>
  </si>
  <si>
    <t>Hutayniun</t>
  </si>
  <si>
    <t>Shahad</t>
  </si>
  <si>
    <t>Salah</t>
  </si>
  <si>
    <t>Ramadan</t>
  </si>
  <si>
    <t>Environmental Health/Safety</t>
  </si>
  <si>
    <t>Alkhayrat</t>
  </si>
  <si>
    <t>Khalid</t>
  </si>
  <si>
    <t>Snan</t>
  </si>
  <si>
    <t>Alkhatib</t>
  </si>
  <si>
    <t>Darar</t>
  </si>
  <si>
    <t>Alshiyraziu</t>
  </si>
  <si>
    <t>Mazin</t>
  </si>
  <si>
    <t>Yusif</t>
  </si>
  <si>
    <t>Rasha</t>
  </si>
  <si>
    <t>Naeim</t>
  </si>
  <si>
    <t>Eamra</t>
  </si>
  <si>
    <t>Alshueranii</t>
  </si>
  <si>
    <t>Amira</t>
  </si>
  <si>
    <t>Akrym</t>
  </si>
  <si>
    <t>Hamzat</t>
  </si>
  <si>
    <t>Khayr</t>
  </si>
  <si>
    <t>Abd Almalik</t>
  </si>
  <si>
    <t>Nazal</t>
  </si>
  <si>
    <t>Rabya</t>
  </si>
  <si>
    <t>Kiwan</t>
  </si>
  <si>
    <t>Samah</t>
  </si>
  <si>
    <t>Almaydanii</t>
  </si>
  <si>
    <t>Ali</t>
  </si>
  <si>
    <t>Watar</t>
  </si>
  <si>
    <t>Darin</t>
  </si>
  <si>
    <t>Ghunum</t>
  </si>
  <si>
    <t>Alhamal</t>
  </si>
  <si>
    <t>Amal</t>
  </si>
  <si>
    <t>Razan</t>
  </si>
  <si>
    <t>AlAhmad</t>
  </si>
  <si>
    <t>Kharasah</t>
  </si>
  <si>
    <t>Tariq</t>
  </si>
  <si>
    <t>Bryghl</t>
  </si>
  <si>
    <t>Fadi</t>
  </si>
  <si>
    <t>Aleid</t>
  </si>
  <si>
    <t>Abuzahir</t>
  </si>
  <si>
    <t>Human Resources</t>
  </si>
  <si>
    <t>Aljabr</t>
  </si>
  <si>
    <t>Abu Eadlh</t>
  </si>
  <si>
    <t>Abu Adhan</t>
  </si>
  <si>
    <t>Ehab</t>
  </si>
  <si>
    <t>Alkhibaz</t>
  </si>
  <si>
    <t>Ranya</t>
  </si>
  <si>
    <t>Salah Aldiyn</t>
  </si>
  <si>
    <t>Juri</t>
  </si>
  <si>
    <t>Zaytun</t>
  </si>
  <si>
    <t>Sahar</t>
  </si>
  <si>
    <t>Almuhamad</t>
  </si>
  <si>
    <t>Mari</t>
  </si>
  <si>
    <t>Ayly</t>
  </si>
  <si>
    <t>Alhuri</t>
  </si>
  <si>
    <t>Dania</t>
  </si>
  <si>
    <t>Almala</t>
  </si>
  <si>
    <t>Rym</t>
  </si>
  <si>
    <t>Alsydawi</t>
  </si>
  <si>
    <t>Mahir</t>
  </si>
  <si>
    <t>Alshear</t>
  </si>
  <si>
    <t>Alhamid</t>
  </si>
  <si>
    <t>Alkhayr</t>
  </si>
  <si>
    <t>Bashshar</t>
  </si>
  <si>
    <t>Jhad</t>
  </si>
  <si>
    <t>Limays</t>
  </si>
  <si>
    <t>Ghrz</t>
  </si>
  <si>
    <t>Zaydun</t>
  </si>
  <si>
    <t>Jabir</t>
  </si>
  <si>
    <t>Fatima</t>
  </si>
  <si>
    <t>Zaetar</t>
  </si>
  <si>
    <t>Shakir</t>
  </si>
  <si>
    <t>Ruyda</t>
  </si>
  <si>
    <t>Alhamadii</t>
  </si>
  <si>
    <t>Anwar</t>
  </si>
  <si>
    <t>Almaseud</t>
  </si>
  <si>
    <t>Fayaruz</t>
  </si>
  <si>
    <t>Sabih</t>
  </si>
  <si>
    <t>Jwny</t>
  </si>
  <si>
    <t>Alrashid</t>
  </si>
  <si>
    <t>Kiali</t>
  </si>
  <si>
    <t>Jamal</t>
  </si>
  <si>
    <t>Alhalib</t>
  </si>
  <si>
    <t>Suzan</t>
  </si>
  <si>
    <t>Alsawis</t>
  </si>
  <si>
    <t>Efan</t>
  </si>
  <si>
    <t>Jihad</t>
  </si>
  <si>
    <t>Aldarawasha</t>
  </si>
  <si>
    <t>Haithim</t>
  </si>
  <si>
    <t>Hujah</t>
  </si>
  <si>
    <t>Duhana</t>
  </si>
  <si>
    <t>Alakhris</t>
  </si>
  <si>
    <t>Eazalidin</t>
  </si>
  <si>
    <t>Habib</t>
  </si>
  <si>
    <t>Klizli</t>
  </si>
  <si>
    <t>Bajubuj</t>
  </si>
  <si>
    <t>Albaghdadi</t>
  </si>
  <si>
    <t>Almunzilijiu</t>
  </si>
  <si>
    <t>Labanaa</t>
  </si>
  <si>
    <t>Qaziyha</t>
  </si>
  <si>
    <t>Fatnh</t>
  </si>
  <si>
    <t>Iilyas</t>
  </si>
  <si>
    <t>Huaydi</t>
  </si>
  <si>
    <t>Abd Alruhmin</t>
  </si>
  <si>
    <t>Almahrus</t>
  </si>
  <si>
    <t>Biaism</t>
  </si>
  <si>
    <t>Tyzry</t>
  </si>
  <si>
    <t>Milatu</t>
  </si>
  <si>
    <t>Alyida</t>
  </si>
  <si>
    <t>Nieamah</t>
  </si>
  <si>
    <t>Kamal</t>
  </si>
  <si>
    <t>Hajl</t>
  </si>
  <si>
    <t>Amjad</t>
  </si>
  <si>
    <t>Naghnagh</t>
  </si>
  <si>
    <t>Qisi</t>
  </si>
  <si>
    <t>Basmah</t>
  </si>
  <si>
    <t>Alhabis</t>
  </si>
  <si>
    <t>Dahbur</t>
  </si>
  <si>
    <t>Rwbyna</t>
  </si>
  <si>
    <t>Iibrahim</t>
  </si>
  <si>
    <t>Basimah</t>
  </si>
  <si>
    <t>Sybea</t>
  </si>
  <si>
    <t>Zunar</t>
  </si>
  <si>
    <t>Eali</t>
  </si>
  <si>
    <t>Mia</t>
  </si>
  <si>
    <t>Lana</t>
  </si>
  <si>
    <t>Alhabash</t>
  </si>
  <si>
    <t>Alshghry</t>
  </si>
  <si>
    <t>Ghazal</t>
  </si>
  <si>
    <t>Hisan</t>
  </si>
  <si>
    <t>Khalil</t>
  </si>
  <si>
    <t>Alzaebii</t>
  </si>
  <si>
    <t>Shalish</t>
  </si>
  <si>
    <t>Abdalmjid</t>
  </si>
  <si>
    <t>Lebanon</t>
  </si>
  <si>
    <t>Emar</t>
  </si>
  <si>
    <t>Abil</t>
  </si>
  <si>
    <t>Lamia</t>
  </si>
  <si>
    <t>Warur</t>
  </si>
  <si>
    <t>Fyfian</t>
  </si>
  <si>
    <t>Majd</t>
  </si>
  <si>
    <t>Yasin</t>
  </si>
  <si>
    <t>Amir</t>
  </si>
  <si>
    <t>Lilas</t>
  </si>
  <si>
    <t>Balatah</t>
  </si>
  <si>
    <t>Ruaa</t>
  </si>
  <si>
    <t>Mukiin</t>
  </si>
  <si>
    <t>Female</t>
  </si>
  <si>
    <t>Shaeban</t>
  </si>
  <si>
    <t>Ewad</t>
  </si>
  <si>
    <t>Rahaf</t>
  </si>
  <si>
    <t>Alaleppoy</t>
  </si>
  <si>
    <t>Samiah</t>
  </si>
  <si>
    <t>Alsaedi</t>
  </si>
  <si>
    <t>Hamdu</t>
  </si>
  <si>
    <t>Aishah</t>
  </si>
  <si>
    <t>Alquatliu</t>
  </si>
  <si>
    <t>Dany</t>
  </si>
  <si>
    <t>Albaba</t>
  </si>
  <si>
    <t>Rinkusi</t>
  </si>
  <si>
    <t>Isam</t>
  </si>
  <si>
    <t>Jadid</t>
  </si>
  <si>
    <t>Bushraa</t>
  </si>
  <si>
    <t>Drwysh</t>
  </si>
  <si>
    <t>Zakarian</t>
  </si>
  <si>
    <t>Rashwani</t>
  </si>
  <si>
    <t>Alqadi</t>
  </si>
  <si>
    <t>Diea</t>
  </si>
  <si>
    <t>Almarstani</t>
  </si>
  <si>
    <t>Siedih</t>
  </si>
  <si>
    <t>Bisam</t>
  </si>
  <si>
    <t>Rghid</t>
  </si>
  <si>
    <t>Aryj</t>
  </si>
  <si>
    <t>Hamada</t>
  </si>
  <si>
    <t>Madlin</t>
  </si>
  <si>
    <t>Saeid</t>
  </si>
  <si>
    <t>Rybal</t>
  </si>
  <si>
    <t>Sabagh</t>
  </si>
  <si>
    <t>Samar</t>
  </si>
  <si>
    <t>Alqutb</t>
  </si>
  <si>
    <t>Murad</t>
  </si>
  <si>
    <t>Salih</t>
  </si>
  <si>
    <t>Alziyat</t>
  </si>
  <si>
    <t>Nhl</t>
  </si>
  <si>
    <t>Saed</t>
  </si>
  <si>
    <t>Alsiyah</t>
  </si>
  <si>
    <t>Majdy</t>
  </si>
  <si>
    <t>Rafaea</t>
  </si>
  <si>
    <t>Ihsan</t>
  </si>
  <si>
    <t>Eazu</t>
  </si>
  <si>
    <t>Alshaykh</t>
  </si>
  <si>
    <t>Bara</t>
  </si>
  <si>
    <t>Alrrashid</t>
  </si>
  <si>
    <t>Research Center</t>
  </si>
  <si>
    <t>Nuna</t>
  </si>
  <si>
    <t>Bima</t>
  </si>
  <si>
    <t>Mustafaa</t>
  </si>
  <si>
    <t>Husam</t>
  </si>
  <si>
    <t>Abu Shwmr</t>
  </si>
  <si>
    <t>Abdalrahmin</t>
  </si>
  <si>
    <t>Turkmany</t>
  </si>
  <si>
    <t>Majdulyn</t>
  </si>
  <si>
    <t>Alhakim</t>
  </si>
  <si>
    <t>Abu Jaysh</t>
  </si>
  <si>
    <t>Majid</t>
  </si>
  <si>
    <t>Aleusud</t>
  </si>
  <si>
    <t>Shakhashiru</t>
  </si>
  <si>
    <t>Malik</t>
  </si>
  <si>
    <t>Zarzur</t>
  </si>
  <si>
    <t>Hasan</t>
  </si>
  <si>
    <t>Iismaeil</t>
  </si>
  <si>
    <t>Abu Nasir</t>
  </si>
  <si>
    <t>Earabi</t>
  </si>
  <si>
    <t>Zahir</t>
  </si>
  <si>
    <t>Eisaa</t>
  </si>
  <si>
    <t>Lama</t>
  </si>
  <si>
    <t>Sabiq</t>
  </si>
  <si>
    <t>Dw</t>
  </si>
  <si>
    <t>Jawaher</t>
  </si>
  <si>
    <t>Shaykhus</t>
  </si>
  <si>
    <t>Emam</t>
  </si>
  <si>
    <t>Mansur</t>
  </si>
  <si>
    <t>Bulta</t>
  </si>
  <si>
    <t>Fatin</t>
  </si>
  <si>
    <t>Hamshu</t>
  </si>
  <si>
    <t>Alnasar</t>
  </si>
  <si>
    <t>Red</t>
  </si>
  <si>
    <t>Dwalyby</t>
  </si>
  <si>
    <t>Basil</t>
  </si>
  <si>
    <t>Musaa</t>
  </si>
  <si>
    <t>Antuan</t>
  </si>
  <si>
    <t>Litansdurfr</t>
  </si>
  <si>
    <t>Rashad</t>
  </si>
  <si>
    <t>Iidris</t>
  </si>
  <si>
    <t>Bidralidin</t>
  </si>
  <si>
    <t>Ahmdghrybw</t>
  </si>
  <si>
    <t>Shaykh</t>
  </si>
  <si>
    <t>Eala Aldiyn</t>
  </si>
  <si>
    <t>Khaldun</t>
  </si>
  <si>
    <t>Suqbani</t>
  </si>
  <si>
    <t>Albahra</t>
  </si>
  <si>
    <t>Ezqul</t>
  </si>
  <si>
    <t>Alhamuwd</t>
  </si>
  <si>
    <t>Abu Zamil</t>
  </si>
  <si>
    <t>Fuad</t>
  </si>
  <si>
    <t>Alsyqly</t>
  </si>
  <si>
    <t>Aldamshqi</t>
  </si>
  <si>
    <t>Sayf Aldiyn</t>
  </si>
  <si>
    <t>Alkmshh</t>
  </si>
  <si>
    <t>Alssati</t>
  </si>
  <si>
    <t>Alem</t>
  </si>
  <si>
    <t>Aleisaa</t>
  </si>
  <si>
    <t>Dulul</t>
  </si>
  <si>
    <t>Ruba</t>
  </si>
  <si>
    <t>Badawiin</t>
  </si>
  <si>
    <t>Sharihan</t>
  </si>
  <si>
    <t>Rihan</t>
  </si>
  <si>
    <t>Alyasin</t>
  </si>
  <si>
    <t>Mulaliyun</t>
  </si>
  <si>
    <t>Danah</t>
  </si>
  <si>
    <t>Almahdi</t>
  </si>
  <si>
    <t>Sakar</t>
  </si>
  <si>
    <t>Asf</t>
  </si>
  <si>
    <t>Abultif</t>
  </si>
  <si>
    <t>Alshalaq</t>
  </si>
  <si>
    <t>Zawal</t>
  </si>
  <si>
    <t>Diana</t>
  </si>
  <si>
    <t>Aleabd</t>
  </si>
  <si>
    <t>Kawkab</t>
  </si>
  <si>
    <t>Qarqazan</t>
  </si>
  <si>
    <t>Thamir</t>
  </si>
  <si>
    <t>Abu Ghazy</t>
  </si>
  <si>
    <t>Alabth</t>
  </si>
  <si>
    <t>Khadijah</t>
  </si>
  <si>
    <t>Abu Taqih</t>
  </si>
  <si>
    <t>Salwaa</t>
  </si>
  <si>
    <t>Alsyd</t>
  </si>
  <si>
    <t>Muayid</t>
  </si>
  <si>
    <t>Shbyb</t>
  </si>
  <si>
    <t>Rannym</t>
  </si>
  <si>
    <t>Tyru</t>
  </si>
  <si>
    <t>Alhaju Bikr</t>
  </si>
  <si>
    <t>Aldukifi</t>
  </si>
  <si>
    <t>Sandurana</t>
  </si>
  <si>
    <t>Antun</t>
  </si>
  <si>
    <t>Darkzifli</t>
  </si>
  <si>
    <t>Alsaeid</t>
  </si>
  <si>
    <t>Alhifar</t>
  </si>
  <si>
    <t>Kalthum</t>
  </si>
  <si>
    <t>Saeadat</t>
  </si>
  <si>
    <t>Eijrush</t>
  </si>
  <si>
    <t>Alkinaya</t>
  </si>
  <si>
    <t>Alrz</t>
  </si>
  <si>
    <t>Daniah</t>
  </si>
  <si>
    <t>Alhariri</t>
  </si>
  <si>
    <t>Quidr</t>
  </si>
  <si>
    <t>Shaykh Janid</t>
  </si>
  <si>
    <t>Esamat</t>
  </si>
  <si>
    <t>Zaza</t>
  </si>
  <si>
    <t>Hububati</t>
  </si>
  <si>
    <t>Adnan</t>
  </si>
  <si>
    <t>Alhusayn</t>
  </si>
  <si>
    <t>Allibad</t>
  </si>
  <si>
    <t>Tana</t>
  </si>
  <si>
    <t>Dahruj</t>
  </si>
  <si>
    <t>Almtlq</t>
  </si>
  <si>
    <t>Sana</t>
  </si>
  <si>
    <t>Bdraldyn</t>
  </si>
  <si>
    <t>Eataya</t>
  </si>
  <si>
    <t>Aljizamati</t>
  </si>
  <si>
    <t>Alqasir</t>
  </si>
  <si>
    <t>Shilan</t>
  </si>
  <si>
    <t>Aljasim</t>
  </si>
  <si>
    <t>Abuhamd</t>
  </si>
  <si>
    <t>Qareush</t>
  </si>
  <si>
    <t>Jaridiun</t>
  </si>
  <si>
    <t>Alhumwi</t>
  </si>
  <si>
    <t>Akthum</t>
  </si>
  <si>
    <t>Eibdalbaqi</t>
  </si>
  <si>
    <t>Almurashihi</t>
  </si>
  <si>
    <t>Batual</t>
  </si>
  <si>
    <t>Abu Fakhar</t>
  </si>
  <si>
    <t>Rinah</t>
  </si>
  <si>
    <t>Alkhuriu</t>
  </si>
  <si>
    <t>Alsaqaraq</t>
  </si>
  <si>
    <t>Sharina</t>
  </si>
  <si>
    <t>Jablah</t>
  </si>
  <si>
    <t>Alsulayman</t>
  </si>
  <si>
    <t>Almaghribiu</t>
  </si>
  <si>
    <t>Kholoud</t>
  </si>
  <si>
    <t>Khayti</t>
  </si>
  <si>
    <t>Jamul</t>
  </si>
  <si>
    <t>Alrahil</t>
  </si>
  <si>
    <t>Abd Alrazzaq</t>
  </si>
  <si>
    <t>Gharah</t>
  </si>
  <si>
    <t>Lylas</t>
  </si>
  <si>
    <t>Shiah</t>
  </si>
  <si>
    <t>Kinda</t>
  </si>
  <si>
    <t>Alaqre</t>
  </si>
  <si>
    <t>Dinana</t>
  </si>
  <si>
    <t>Zaydan</t>
  </si>
  <si>
    <t>Amyrah</t>
  </si>
  <si>
    <t>Mudinih</t>
  </si>
  <si>
    <t>Safa</t>
  </si>
  <si>
    <t>AlAhmar</t>
  </si>
  <si>
    <t>Eurman</t>
  </si>
  <si>
    <t>Abd Allah</t>
  </si>
  <si>
    <t>Almawsiliu</t>
  </si>
  <si>
    <t>Salhany</t>
  </si>
  <si>
    <t>Ashraf</t>
  </si>
  <si>
    <t>Shadi Alghazy</t>
  </si>
  <si>
    <t>Bytar</t>
  </si>
  <si>
    <t>Farahat</t>
  </si>
  <si>
    <t>Albazir</t>
  </si>
  <si>
    <t>Alnisrin</t>
  </si>
  <si>
    <t>Afra</t>
  </si>
  <si>
    <t>Sharabi</t>
  </si>
  <si>
    <t>Hamuwd</t>
  </si>
  <si>
    <t>Ramiz</t>
  </si>
  <si>
    <t>Aleuryan</t>
  </si>
  <si>
    <t>Eaku</t>
  </si>
  <si>
    <t>Euthman</t>
  </si>
  <si>
    <t>Imran</t>
  </si>
  <si>
    <t>Hazruma</t>
  </si>
  <si>
    <t>Rawan</t>
  </si>
  <si>
    <t>Durkzili</t>
  </si>
  <si>
    <t>Shaqir</t>
  </si>
  <si>
    <t>Muanis</t>
  </si>
  <si>
    <t>Alsabagh</t>
  </si>
  <si>
    <t>Dijwar</t>
  </si>
  <si>
    <t>Husu</t>
  </si>
  <si>
    <t>Asama</t>
  </si>
  <si>
    <t>Eilwan</t>
  </si>
  <si>
    <t>Alhidad</t>
  </si>
  <si>
    <t>Zaeur</t>
  </si>
  <si>
    <t>Rasul</t>
  </si>
  <si>
    <t>Aleumurii</t>
  </si>
  <si>
    <t>Albaytar</t>
  </si>
  <si>
    <t>Altuean</t>
  </si>
  <si>
    <t>Dalia</t>
  </si>
  <si>
    <t>Hamdan</t>
  </si>
  <si>
    <t>Alhindi</t>
  </si>
  <si>
    <t>Zyny</t>
  </si>
  <si>
    <t>Almuetaz</t>
  </si>
  <si>
    <t>Biallah</t>
  </si>
  <si>
    <t>Rabana</t>
  </si>
  <si>
    <t>Alsaman</t>
  </si>
  <si>
    <t>Alriys</t>
  </si>
  <si>
    <t>Samirah</t>
  </si>
  <si>
    <t>Jumea</t>
  </si>
  <si>
    <t>Alhaj Ali</t>
  </si>
  <si>
    <t>Farial</t>
  </si>
  <si>
    <t>Qulumih</t>
  </si>
  <si>
    <t>Dawara</t>
  </si>
  <si>
    <t>Abdalhadi</t>
  </si>
  <si>
    <t>Qahraman</t>
  </si>
  <si>
    <t>Mshati</t>
  </si>
  <si>
    <t>Altibae</t>
  </si>
  <si>
    <t>Iidlibi</t>
  </si>
  <si>
    <t>Ghazzawi</t>
  </si>
  <si>
    <t>Eabd Aleal</t>
  </si>
  <si>
    <t>Sali</t>
  </si>
  <si>
    <t>Musuh</t>
  </si>
  <si>
    <t>Maria</t>
  </si>
  <si>
    <t>Alhizae</t>
  </si>
  <si>
    <t>Alghan</t>
  </si>
  <si>
    <t>Mitri</t>
  </si>
  <si>
    <t>Aleliwi</t>
  </si>
  <si>
    <t>Aldwltali</t>
  </si>
  <si>
    <t>Udib</t>
  </si>
  <si>
    <t>Yuzbik</t>
  </si>
  <si>
    <t>Zaerur</t>
  </si>
  <si>
    <t>Mazlum</t>
  </si>
  <si>
    <t>Alghurani</t>
  </si>
  <si>
    <t>Abd Alsamad</t>
  </si>
  <si>
    <t>Alhasan</t>
  </si>
  <si>
    <t>Altahhan</t>
  </si>
  <si>
    <t>Mahfud</t>
  </si>
  <si>
    <t>Sarah</t>
  </si>
  <si>
    <t>Damrani</t>
  </si>
  <si>
    <t>Aldubus</t>
  </si>
  <si>
    <t>Zynu</t>
  </si>
  <si>
    <t>Lwy</t>
  </si>
  <si>
    <t>Shams</t>
  </si>
  <si>
    <t>Shakur</t>
  </si>
  <si>
    <t>Abdalhai</t>
  </si>
  <si>
    <t>Sarhan</t>
  </si>
  <si>
    <t>Albush</t>
  </si>
  <si>
    <t>Anas</t>
  </si>
  <si>
    <t>Eabidin</t>
  </si>
  <si>
    <t>Ebdalwahd</t>
  </si>
  <si>
    <t>Aleazm</t>
  </si>
  <si>
    <t>Maya</t>
  </si>
  <si>
    <t>Alhmwi</t>
  </si>
  <si>
    <t>Khiat</t>
  </si>
  <si>
    <t>Randa</t>
  </si>
  <si>
    <t>Alajw</t>
  </si>
  <si>
    <t>Alghazi</t>
  </si>
  <si>
    <t>Eijluni</t>
  </si>
  <si>
    <t>Sultan</t>
  </si>
  <si>
    <t>Alhijar</t>
  </si>
  <si>
    <t>Asma</t>
  </si>
  <si>
    <t>Sadqawi</t>
  </si>
  <si>
    <t>Fulla</t>
  </si>
  <si>
    <t>Alkhalid</t>
  </si>
  <si>
    <t>Lujin</t>
  </si>
  <si>
    <t>Jihan</t>
  </si>
  <si>
    <t>Alqudmani</t>
  </si>
  <si>
    <t>Alkhayran</t>
  </si>
  <si>
    <t>Qasim</t>
  </si>
  <si>
    <t>Altaynawi</t>
  </si>
  <si>
    <t>Hafiz</t>
  </si>
  <si>
    <t>Kamilia</t>
  </si>
  <si>
    <t>Sydu</t>
  </si>
  <si>
    <t>Marwan</t>
  </si>
  <si>
    <t>Rwad</t>
  </si>
  <si>
    <t>Alddahir</t>
  </si>
  <si>
    <t>Jury</t>
  </si>
  <si>
    <t>Eabuwd</t>
  </si>
  <si>
    <t>Sayban</t>
  </si>
  <si>
    <t>Musur</t>
  </si>
  <si>
    <t>Lbyb</t>
  </si>
  <si>
    <t>Fahd</t>
  </si>
  <si>
    <t>Bilul</t>
  </si>
  <si>
    <t>Alnuwri</t>
  </si>
  <si>
    <t>Allaham</t>
  </si>
  <si>
    <t>Raft</t>
  </si>
  <si>
    <t>Asead</t>
  </si>
  <si>
    <t>Alwurhani</t>
  </si>
  <si>
    <t>Kharbutli</t>
  </si>
  <si>
    <t>Tamur</t>
  </si>
  <si>
    <t>Alkhlf</t>
  </si>
  <si>
    <t>Eisaf</t>
  </si>
  <si>
    <t>Bitahish</t>
  </si>
  <si>
    <t>Abdalrhim</t>
  </si>
  <si>
    <t>Eimaruh</t>
  </si>
  <si>
    <t>Bashaer</t>
  </si>
  <si>
    <t>Hadalah</t>
  </si>
  <si>
    <t>Maeruf</t>
  </si>
  <si>
    <t>Alnuwnu</t>
  </si>
  <si>
    <t>Albarghali</t>
  </si>
  <si>
    <t>Baha Aldiyn</t>
  </si>
  <si>
    <t>Marzuq</t>
  </si>
  <si>
    <t>Hamj</t>
  </si>
  <si>
    <t>Bradey</t>
  </si>
  <si>
    <t>Sabah</t>
  </si>
  <si>
    <t>Qadish</t>
  </si>
  <si>
    <t>Asra</t>
  </si>
  <si>
    <t>Kawaara</t>
  </si>
  <si>
    <t>Abunfis</t>
  </si>
  <si>
    <t>Lawiy</t>
  </si>
  <si>
    <t>Rama</t>
  </si>
  <si>
    <t>Alsaghir</t>
  </si>
  <si>
    <t>Qadimati</t>
  </si>
  <si>
    <t>Qays</t>
  </si>
  <si>
    <t>Dahna</t>
  </si>
  <si>
    <t>Raja</t>
  </si>
  <si>
    <t>Eaziza</t>
  </si>
  <si>
    <t>Nakaash</t>
  </si>
  <si>
    <t>Khuluf</t>
  </si>
  <si>
    <t>Zaki</t>
  </si>
  <si>
    <t>Asamh Tubae</t>
  </si>
  <si>
    <t>Daeas</t>
  </si>
  <si>
    <t>Shadi Alkhiat</t>
  </si>
  <si>
    <t>Omaimah</t>
  </si>
  <si>
    <t>Tqi Aldiyn</t>
  </si>
  <si>
    <t>Tahani</t>
  </si>
  <si>
    <t>Yasir</t>
  </si>
  <si>
    <t>Alfywmi</t>
  </si>
  <si>
    <t>Zarie</t>
  </si>
  <si>
    <t>Eaqad</t>
  </si>
  <si>
    <t>Ismaeil</t>
  </si>
  <si>
    <t>Jdwe</t>
  </si>
  <si>
    <t>Saeid Alzarey</t>
  </si>
  <si>
    <t>Bakr</t>
  </si>
  <si>
    <t>Eubdallah</t>
  </si>
  <si>
    <t>Alnajar</t>
  </si>
  <si>
    <t>Wayly</t>
  </si>
  <si>
    <t>Raghid</t>
  </si>
  <si>
    <t>Alsiraj</t>
  </si>
  <si>
    <t>Allaadhiqanii</t>
  </si>
  <si>
    <t>Ghyath</t>
  </si>
  <si>
    <t>Siriul</t>
  </si>
  <si>
    <t>Einziin</t>
  </si>
  <si>
    <t>Abdalrhmin</t>
  </si>
  <si>
    <t>Aljuju</t>
  </si>
  <si>
    <t>Lawy</t>
  </si>
  <si>
    <t>Nadaf</t>
  </si>
  <si>
    <t>Bikar</t>
  </si>
  <si>
    <t>Ziada</t>
  </si>
  <si>
    <t>Eashur</t>
  </si>
  <si>
    <t>Naqawuh</t>
  </si>
  <si>
    <t>Tamadur</t>
  </si>
  <si>
    <t>Barghuth</t>
  </si>
  <si>
    <t>Jazar</t>
  </si>
  <si>
    <t>Mareiun</t>
  </si>
  <si>
    <t>Abdaleziz</t>
  </si>
  <si>
    <t>Eiwad</t>
  </si>
  <si>
    <t>Alkhawam</t>
  </si>
  <si>
    <t>Alia</t>
  </si>
  <si>
    <t>Maseud</t>
  </si>
  <si>
    <t>Abuhani</t>
  </si>
  <si>
    <t>Alshamy</t>
  </si>
  <si>
    <t>Baha</t>
  </si>
  <si>
    <t>Eusqul</t>
  </si>
  <si>
    <t>Hylmyh</t>
  </si>
  <si>
    <t>Turkamani</t>
  </si>
  <si>
    <t>Jameah</t>
  </si>
  <si>
    <t>Akram</t>
  </si>
  <si>
    <t>Alhulwanii</t>
  </si>
  <si>
    <t>Khawla</t>
  </si>
  <si>
    <t>Dawi</t>
  </si>
  <si>
    <t>Rayid</t>
  </si>
  <si>
    <t>Zazana</t>
  </si>
  <si>
    <t>Iybw</t>
  </si>
  <si>
    <t>Jamil</t>
  </si>
  <si>
    <t>Ghabur</t>
  </si>
  <si>
    <t>Taysir</t>
  </si>
  <si>
    <t>Hanan</t>
  </si>
  <si>
    <t>Kurdiun</t>
  </si>
  <si>
    <t>Rita</t>
  </si>
  <si>
    <t>Dib</t>
  </si>
  <si>
    <t>Alghush</t>
  </si>
  <si>
    <t>Ghaliah</t>
  </si>
  <si>
    <t>Eibad</t>
  </si>
  <si>
    <t>Zaniqa</t>
  </si>
  <si>
    <t>Sharfah</t>
  </si>
  <si>
    <t>Kazeur</t>
  </si>
  <si>
    <t>Mujdi</t>
  </si>
  <si>
    <t>Altynawi</t>
  </si>
  <si>
    <t>Thayir</t>
  </si>
  <si>
    <t>Hamuwda</t>
  </si>
  <si>
    <t>Abdallah</t>
  </si>
  <si>
    <t>Zakariaa</t>
  </si>
  <si>
    <t>Ikhlas</t>
  </si>
  <si>
    <t>Jzayrly</t>
  </si>
  <si>
    <t>Badr</t>
  </si>
  <si>
    <t>Hunun</t>
  </si>
  <si>
    <t>Sariji</t>
  </si>
  <si>
    <t>Albieli</t>
  </si>
  <si>
    <t>Eyd Bndqjy</t>
  </si>
  <si>
    <t>Lulu</t>
  </si>
  <si>
    <t>Shhybr</t>
  </si>
  <si>
    <t>Abdalbasit</t>
  </si>
  <si>
    <t>Aljazayiriu</t>
  </si>
  <si>
    <t>Aywbi</t>
  </si>
  <si>
    <t>Dabana</t>
  </si>
  <si>
    <t>Fawaz</t>
  </si>
  <si>
    <t>Nafae</t>
  </si>
  <si>
    <t>Ranim</t>
  </si>
  <si>
    <t>Amani</t>
  </si>
  <si>
    <t>Altujjar</t>
  </si>
  <si>
    <t>Rashid</t>
  </si>
  <si>
    <t>Amin</t>
  </si>
  <si>
    <t>Hamid</t>
  </si>
  <si>
    <t>Kashik</t>
  </si>
  <si>
    <t>Dakhal</t>
  </si>
  <si>
    <t>Karishati</t>
  </si>
  <si>
    <t>Alsaed</t>
  </si>
  <si>
    <t>Aleaqla</t>
  </si>
  <si>
    <t>Eursaly</t>
  </si>
  <si>
    <t>Alaishhab</t>
  </si>
  <si>
    <t>Rulaa</t>
  </si>
  <si>
    <t>Shannar</t>
  </si>
  <si>
    <t>Aynas</t>
  </si>
  <si>
    <t>Alhiwat</t>
  </si>
  <si>
    <t>Sara</t>
  </si>
  <si>
    <t>Tabanaj</t>
  </si>
  <si>
    <t>Aldahan</t>
  </si>
  <si>
    <t>Ramzi</t>
  </si>
  <si>
    <t>Jan</t>
  </si>
  <si>
    <t>Mikayiylian</t>
  </si>
  <si>
    <t>Almuthanaa</t>
  </si>
  <si>
    <t>Alsaediu</t>
  </si>
  <si>
    <t>Emad</t>
  </si>
  <si>
    <t>Haydar</t>
  </si>
  <si>
    <t>Abdalkarim</t>
  </si>
  <si>
    <t>Shueayb</t>
  </si>
  <si>
    <t>Qitan</t>
  </si>
  <si>
    <t>Rajab</t>
  </si>
  <si>
    <t>Asamh</t>
  </si>
  <si>
    <t>Alyusif</t>
  </si>
  <si>
    <t>Asym</t>
  </si>
  <si>
    <t>Aleaqqad</t>
  </si>
  <si>
    <t>Dahman</t>
  </si>
  <si>
    <t>Oqba</t>
  </si>
  <si>
    <t>Alqintar</t>
  </si>
  <si>
    <t>Laylanaan</t>
  </si>
  <si>
    <t>Muhii Aldiyn</t>
  </si>
  <si>
    <t>Zaynab</t>
  </si>
  <si>
    <t>Eirat</t>
  </si>
  <si>
    <t>Alghandur</t>
  </si>
  <si>
    <t>Tamim</t>
  </si>
  <si>
    <t>Ayat</t>
  </si>
  <si>
    <t>Byd</t>
  </si>
  <si>
    <t>Daly</t>
  </si>
  <si>
    <t>Almunajid</t>
  </si>
  <si>
    <t>Eynas</t>
  </si>
  <si>
    <t>Ahmid</t>
  </si>
  <si>
    <t>Aljabaei</t>
  </si>
  <si>
    <t>Alqadri</t>
  </si>
  <si>
    <t>Bradiei</t>
  </si>
  <si>
    <t>Suirkili</t>
  </si>
  <si>
    <t>Darakal</t>
  </si>
  <si>
    <t>Bihtiti</t>
  </si>
  <si>
    <t>Ridwan</t>
  </si>
  <si>
    <t>Alshulyan</t>
  </si>
  <si>
    <t>Barghaly</t>
  </si>
  <si>
    <t>Badran</t>
  </si>
  <si>
    <t>Shwk</t>
  </si>
  <si>
    <t>Aldiyn</t>
  </si>
  <si>
    <t>Hamuwdatan</t>
  </si>
  <si>
    <t>Shuruq</t>
  </si>
  <si>
    <t>Alshahrur</t>
  </si>
  <si>
    <t>Rafif</t>
  </si>
  <si>
    <t>Khalf</t>
  </si>
  <si>
    <t>Albarnawi</t>
  </si>
  <si>
    <t>Almiqdad</t>
  </si>
  <si>
    <t>Faris</t>
  </si>
  <si>
    <t>Kafa</t>
  </si>
  <si>
    <t>Almaghribi</t>
  </si>
  <si>
    <t>Aldrwysh</t>
  </si>
  <si>
    <t>Hatim</t>
  </si>
  <si>
    <t>Nahlawi</t>
  </si>
  <si>
    <t>Rabye'</t>
  </si>
  <si>
    <t>Alzrqawy</t>
  </si>
  <si>
    <t>Huquq</t>
  </si>
  <si>
    <t>Alqatish</t>
  </si>
  <si>
    <t>Altawil</t>
  </si>
  <si>
    <t>Alsyd Ahmad</t>
  </si>
  <si>
    <t>Aleitar</t>
  </si>
  <si>
    <t>Fatir</t>
  </si>
  <si>
    <t>Alealiu</t>
  </si>
  <si>
    <t>Sulayman</t>
  </si>
  <si>
    <t>Suqabani</t>
  </si>
  <si>
    <t>Aldubbas</t>
  </si>
  <si>
    <t>Hamzaa</t>
  </si>
  <si>
    <t>Astitih</t>
  </si>
  <si>
    <t>Zinu</t>
  </si>
  <si>
    <t>Darbika</t>
  </si>
  <si>
    <t>Aldhiyab</t>
  </si>
  <si>
    <t>Salahi</t>
  </si>
  <si>
    <t>Ayuwb</t>
  </si>
  <si>
    <t>Shawqi</t>
  </si>
  <si>
    <t>Aldhahabi</t>
  </si>
  <si>
    <t>Ghayth</t>
  </si>
  <si>
    <t>Almujahid</t>
  </si>
  <si>
    <t>Dima</t>
  </si>
  <si>
    <t>Filyun</t>
  </si>
  <si>
    <t>Tasbihji</t>
  </si>
  <si>
    <t>Shumut</t>
  </si>
  <si>
    <t>Zaqzuq</t>
  </si>
  <si>
    <t>Yasmin</t>
  </si>
  <si>
    <t>Eamir</t>
  </si>
  <si>
    <t>Ratib</t>
  </si>
  <si>
    <t>Alhamd</t>
  </si>
  <si>
    <t>Abdalkrim</t>
  </si>
  <si>
    <t>Fadal</t>
  </si>
  <si>
    <t>Eurnus</t>
  </si>
  <si>
    <t>Abd Almueiyn</t>
  </si>
  <si>
    <t>Eitaya</t>
  </si>
  <si>
    <t>Qisam</t>
  </si>
  <si>
    <t>Shafiq</t>
  </si>
  <si>
    <t>Almalih</t>
  </si>
  <si>
    <t>Raghad</t>
  </si>
  <si>
    <t>Aghasi</t>
  </si>
  <si>
    <t>Alqalish</t>
  </si>
  <si>
    <t>Hawria</t>
  </si>
  <si>
    <t>Alshahadat</t>
  </si>
  <si>
    <t>Aldiyk</t>
  </si>
  <si>
    <t>Hind</t>
  </si>
  <si>
    <t>Almueasaeas</t>
  </si>
  <si>
    <t>Earmush</t>
  </si>
  <si>
    <t>Bahriin</t>
  </si>
  <si>
    <t>Nadir</t>
  </si>
  <si>
    <t>Sharif Aldaghly</t>
  </si>
  <si>
    <t>Emara</t>
  </si>
  <si>
    <t>bwalsibae</t>
  </si>
  <si>
    <t>Razzan</t>
  </si>
  <si>
    <t>Alhusayni</t>
  </si>
  <si>
    <t>Ghassan</t>
  </si>
  <si>
    <t>Aljamal</t>
  </si>
  <si>
    <t>Kahulus</t>
  </si>
  <si>
    <t>Nasir</t>
  </si>
  <si>
    <t>Iman</t>
  </si>
  <si>
    <t>Ghrz Aldiyn</t>
  </si>
  <si>
    <t>Alysia</t>
  </si>
  <si>
    <t>Alyaghshiu</t>
  </si>
  <si>
    <t>Shuelan</t>
  </si>
  <si>
    <t>Asd</t>
  </si>
  <si>
    <t>Bwfaeur</t>
  </si>
  <si>
    <t>Sari</t>
  </si>
  <si>
    <t>Hanna</t>
  </si>
  <si>
    <t>Eubayda</t>
  </si>
  <si>
    <t>Kayd</t>
  </si>
  <si>
    <t>Alkalu</t>
  </si>
  <si>
    <t>Shrbjy</t>
  </si>
  <si>
    <t>Abd Albasit</t>
  </si>
  <si>
    <t>East</t>
  </si>
  <si>
    <t>ID</t>
  </si>
  <si>
    <t>Clipboard</t>
  </si>
  <si>
    <t>Copy</t>
  </si>
  <si>
    <t>Cut</t>
  </si>
  <si>
    <t>Instant</t>
  </si>
  <si>
    <t>Name</t>
  </si>
  <si>
    <t>Job</t>
  </si>
  <si>
    <t>Font/Alignment</t>
  </si>
  <si>
    <t>Insssssssssssstant</t>
  </si>
  <si>
    <t xml:space="preserve"> </t>
  </si>
  <si>
    <t>Number</t>
  </si>
  <si>
    <t>General</t>
  </si>
  <si>
    <t>Currency</t>
  </si>
  <si>
    <t>Percentage</t>
  </si>
  <si>
    <t>Text</t>
  </si>
  <si>
    <t xml:space="preserve">  A B 500000</t>
  </si>
  <si>
    <t>Styles</t>
  </si>
  <si>
    <t>000011220</t>
  </si>
  <si>
    <t>Column1</t>
  </si>
  <si>
    <t>Column2</t>
  </si>
  <si>
    <t>Column3</t>
  </si>
  <si>
    <t>Basic Aggregation</t>
  </si>
  <si>
    <t>+</t>
  </si>
  <si>
    <t>-</t>
  </si>
  <si>
    <t>/</t>
  </si>
  <si>
    <t>*</t>
  </si>
  <si>
    <t>Function</t>
  </si>
  <si>
    <t>Total Mothly salary</t>
  </si>
  <si>
    <t>total Annual Salary</t>
  </si>
  <si>
    <t>Count Of Employees</t>
  </si>
  <si>
    <t>Maximum salary</t>
  </si>
  <si>
    <t>Minimumsalary</t>
  </si>
  <si>
    <t>Average salary</t>
  </si>
  <si>
    <t>Total Mothly Salary - Quality Control</t>
  </si>
  <si>
    <t>Total Annual Salary - Quality Control</t>
  </si>
  <si>
    <t>Total Mothly Salary - Account Management</t>
  </si>
  <si>
    <t>SUMIF</t>
  </si>
  <si>
    <t>SUMIFS</t>
  </si>
  <si>
    <t>Total Mothly Salary - Quality Control and Egypt</t>
  </si>
  <si>
    <t>Total Annual Salary - Quality Control and Egypt</t>
  </si>
  <si>
    <t>Total Mothly Salary - Account Management and Saudi Arabia</t>
  </si>
  <si>
    <t>COUNTIF</t>
  </si>
  <si>
    <t>How many employees have a job performance rating of 5?</t>
  </si>
  <si>
    <t>How many employees have zero sick leave balance?</t>
  </si>
  <si>
    <t>How many employees work overtime? = 8</t>
  </si>
  <si>
    <t>How many account managers are there in the department?</t>
  </si>
  <si>
    <t>COUNTIFS</t>
  </si>
  <si>
    <t>How many employees have a job performance rating of 5 and From Egypt?</t>
  </si>
  <si>
    <t>How many employees have zero sick leave balance , from Egypt and males?</t>
  </si>
  <si>
    <t xml:space="preserve">How many employees work overtime =8 ,and from Egypt? </t>
  </si>
  <si>
    <t>SUM</t>
  </si>
  <si>
    <t>COUNTA</t>
  </si>
  <si>
    <t>MAX</t>
  </si>
  <si>
    <t>MIN</t>
  </si>
  <si>
    <t>AVERAGE</t>
  </si>
  <si>
    <t>Data Validation</t>
  </si>
  <si>
    <t xml:space="preserve">yes </t>
  </si>
  <si>
    <t>Are u Good ?</t>
  </si>
  <si>
    <t>How old are you</t>
  </si>
  <si>
    <t>Departments</t>
  </si>
  <si>
    <t>Phone number</t>
  </si>
  <si>
    <t>01019689964</t>
  </si>
  <si>
    <t>IF</t>
  </si>
  <si>
    <t xml:space="preserve">AND / OR </t>
  </si>
  <si>
    <t>EGYPT / &gt;=5</t>
  </si>
  <si>
    <t xml:space="preserve">AND </t>
  </si>
  <si>
    <t>OR</t>
  </si>
  <si>
    <t>IF/OR/AND</t>
  </si>
  <si>
    <t>EGYPT / =5</t>
  </si>
  <si>
    <t>Quality Control / rate = 5 Good</t>
  </si>
  <si>
    <t>if Salary &gt;2000 ----&gt;High , if Salary &lt;1000 ---&gt; Low , if Salary between 1000 : 2000 ---&gt;Medium</t>
  </si>
  <si>
    <t>Example</t>
  </si>
  <si>
    <t>IFS</t>
  </si>
  <si>
    <t>V-lookup</t>
  </si>
  <si>
    <t>annual increase</t>
  </si>
  <si>
    <t>Vlaues</t>
  </si>
  <si>
    <t>CONCATENATE</t>
  </si>
  <si>
    <t>left</t>
  </si>
  <si>
    <t>right</t>
  </si>
  <si>
    <t>mid</t>
  </si>
  <si>
    <t>len</t>
  </si>
  <si>
    <t>trim</t>
  </si>
  <si>
    <t>upper</t>
  </si>
  <si>
    <t>lower</t>
  </si>
  <si>
    <t>substitute</t>
  </si>
  <si>
    <t>proper</t>
  </si>
  <si>
    <t>LEFT/RIGHT/MID/LEN/TRIM/UPPER/LOWER/SUBSTITUTE/PROPER</t>
  </si>
  <si>
    <t>today</t>
  </si>
  <si>
    <t>year</t>
  </si>
  <si>
    <t>month</t>
  </si>
  <si>
    <t>day</t>
  </si>
  <si>
    <t>TODAY/YEAR/MONTH/DAY/TEXT</t>
  </si>
  <si>
    <t>text</t>
  </si>
  <si>
    <t>Row Labels</t>
  </si>
  <si>
    <t>(blank)</t>
  </si>
  <si>
    <t>Grand Total</t>
  </si>
  <si>
    <t>Sum of ID</t>
  </si>
  <si>
    <t>Count of ID</t>
  </si>
  <si>
    <t>Sum of Monthly Salary</t>
  </si>
  <si>
    <t>Sum of Annual Salary</t>
  </si>
  <si>
    <t>Count of Department</t>
  </si>
  <si>
    <t>Total Annual Salary - Account Management</t>
  </si>
  <si>
    <t>Total Annual Salary - Account Management and Saudi Arabia</t>
  </si>
  <si>
    <t>low</t>
  </si>
  <si>
    <t>High</t>
  </si>
  <si>
    <t>Sum of Sick Leaves</t>
  </si>
  <si>
    <t>Sum of Years</t>
  </si>
  <si>
    <t>Sum of Job Rate</t>
  </si>
  <si>
    <t>Sum of Unpaid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</si>
</sst>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_([$EGP]\ * #,##0.00_);_([$EGP]\ * \(#,##0.00\);_([$EGP]\ * &quot;-&quot;??_);_(@_)"/>
    <numFmt numFmtId="166" formatCode="[$-F800]dddd\,\ mmmm\ dd\,\ yyyy"/>
    <numFmt numFmtId="167" formatCode="0.0"/>
  </numFmts>
  <fonts count="1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5" tint="-0.249977111117893"/>
      <name val="Arial Black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5" tint="-0.249977111117893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2"/>
      <color theme="1"/>
      <name val="Bahnschrift SemiBold SemiConden"/>
      <family val="2"/>
    </font>
    <font>
      <sz val="20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theme="6" tint="0.59999389629810485"/>
      </patternFill>
    </fill>
    <fill>
      <patternFill patternType="solid">
        <fgColor theme="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39997558519241921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0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1" xfId="0" applyBorder="1"/>
    <xf numFmtId="14" fontId="0" fillId="0" borderId="1" xfId="0" applyNumberFormat="1" applyBorder="1"/>
    <xf numFmtId="1" fontId="0" fillId="0" borderId="1" xfId="0" applyNumberFormat="1" applyBorder="1"/>
    <xf numFmtId="0" fontId="0" fillId="0" borderId="0" xfId="0" applyAlignment="1">
      <alignment horizontal="center"/>
    </xf>
    <xf numFmtId="0" fontId="0" fillId="5" borderId="0" xfId="0" applyFill="1"/>
    <xf numFmtId="0" fontId="0" fillId="3" borderId="0" xfId="0" applyFill="1"/>
    <xf numFmtId="0" fontId="0" fillId="8" borderId="0" xfId="0" applyFill="1"/>
    <xf numFmtId="0" fontId="5" fillId="10" borderId="0" xfId="0" applyFont="1" applyFill="1"/>
    <xf numFmtId="0" fontId="0" fillId="10" borderId="0" xfId="0" applyFill="1"/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5" fillId="11" borderId="0" xfId="0" applyFont="1" applyFill="1"/>
    <xf numFmtId="0" fontId="0" fillId="11" borderId="0" xfId="0" applyFill="1"/>
    <xf numFmtId="0" fontId="6" fillId="9" borderId="0" xfId="0" applyFont="1" applyFill="1"/>
    <xf numFmtId="0" fontId="0" fillId="0" borderId="2" xfId="0" applyBorder="1"/>
    <xf numFmtId="0" fontId="0" fillId="12" borderId="2" xfId="0" applyFill="1" applyBorder="1" applyAlignment="1">
      <alignment horizontal="center"/>
    </xf>
    <xf numFmtId="2" fontId="0" fillId="6" borderId="0" xfId="0" applyNumberFormat="1" applyFill="1" applyAlignment="1">
      <alignment horizontal="center" vertical="center"/>
    </xf>
    <xf numFmtId="0" fontId="3" fillId="10" borderId="0" xfId="0" applyFont="1" applyFill="1" applyAlignment="1">
      <alignment horizontal="center"/>
    </xf>
    <xf numFmtId="165" fontId="0" fillId="6" borderId="0" xfId="0" applyNumberFormat="1" applyFill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49" fontId="0" fillId="6" borderId="0" xfId="0" applyNumberFormat="1" applyFill="1" applyAlignment="1">
      <alignment horizontal="center" vertic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14" borderId="0" xfId="0" applyFill="1"/>
    <xf numFmtId="49" fontId="0" fillId="0" borderId="0" xfId="0" applyNumberFormat="1" applyAlignment="1">
      <alignment horizontal="center"/>
    </xf>
    <xf numFmtId="0" fontId="2" fillId="2" borderId="0" xfId="0" applyFont="1" applyFill="1"/>
    <xf numFmtId="14" fontId="2" fillId="2" borderId="0" xfId="0" applyNumberFormat="1" applyFont="1" applyFill="1"/>
    <xf numFmtId="0" fontId="0" fillId="6" borderId="2" xfId="0" applyFill="1" applyBorder="1"/>
    <xf numFmtId="0" fontId="0" fillId="0" borderId="4" xfId="0" applyBorder="1"/>
    <xf numFmtId="0" fontId="0" fillId="0" borderId="5" xfId="0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16" borderId="14" xfId="0" applyFill="1" applyBorder="1"/>
    <xf numFmtId="0" fontId="0" fillId="15" borderId="14" xfId="0" applyFill="1" applyBorder="1"/>
    <xf numFmtId="164" fontId="0" fillId="3" borderId="0" xfId="1" applyFont="1" applyFill="1"/>
    <xf numFmtId="0" fontId="0" fillId="8" borderId="0" xfId="0" applyFill="1" applyAlignment="1">
      <alignment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vertical="center" wrapText="1"/>
    </xf>
    <xf numFmtId="0" fontId="3" fillId="6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2" borderId="13" xfId="0" applyFont="1" applyFill="1" applyBorder="1"/>
    <xf numFmtId="14" fontId="2" fillId="2" borderId="2" xfId="0" applyNumberFormat="1" applyFont="1" applyFill="1" applyBorder="1"/>
    <xf numFmtId="0" fontId="2" fillId="2" borderId="2" xfId="0" applyFont="1" applyFill="1" applyBorder="1"/>
    <xf numFmtId="1" fontId="0" fillId="16" borderId="2" xfId="0" applyNumberFormat="1" applyFill="1" applyBorder="1"/>
    <xf numFmtId="0" fontId="0" fillId="16" borderId="2" xfId="0" applyFill="1" applyBorder="1"/>
    <xf numFmtId="1" fontId="0" fillId="15" borderId="2" xfId="0" applyNumberFormat="1" applyFill="1" applyBorder="1"/>
    <xf numFmtId="0" fontId="0" fillId="15" borderId="2" xfId="0" applyFill="1" applyBorder="1"/>
    <xf numFmtId="0" fontId="2" fillId="2" borderId="13" xfId="0" applyFont="1" applyFill="1" applyBorder="1" applyAlignment="1">
      <alignment horizontal="center"/>
    </xf>
    <xf numFmtId="0" fontId="0" fillId="16" borderId="14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2" fillId="2" borderId="13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/>
    </xf>
    <xf numFmtId="0" fontId="0" fillId="16" borderId="15" xfId="0" applyFill="1" applyBorder="1" applyAlignment="1">
      <alignment horizontal="center"/>
    </xf>
    <xf numFmtId="0" fontId="0" fillId="15" borderId="15" xfId="0" applyFill="1" applyBorder="1" applyAlignment="1">
      <alignment horizontal="center"/>
    </xf>
    <xf numFmtId="14" fontId="0" fillId="16" borderId="14" xfId="0" applyNumberFormat="1" applyFill="1" applyBorder="1"/>
    <xf numFmtId="1" fontId="0" fillId="16" borderId="14" xfId="0" applyNumberFormat="1" applyFill="1" applyBorder="1"/>
    <xf numFmtId="14" fontId="0" fillId="15" borderId="14" xfId="0" applyNumberFormat="1" applyFill="1" applyBorder="1"/>
    <xf numFmtId="1" fontId="0" fillId="15" borderId="14" xfId="0" applyNumberFormat="1" applyFill="1" applyBorder="1"/>
    <xf numFmtId="166" fontId="0" fillId="0" borderId="0" xfId="0" applyNumberFormat="1"/>
    <xf numFmtId="1" fontId="0" fillId="0" borderId="2" xfId="0" applyNumberFormat="1" applyBorder="1"/>
    <xf numFmtId="0" fontId="0" fillId="20" borderId="14" xfId="0" applyFill="1" applyBorder="1"/>
    <xf numFmtId="14" fontId="2" fillId="2" borderId="13" xfId="0" applyNumberFormat="1" applyFont="1" applyFill="1" applyBorder="1"/>
    <xf numFmtId="9" fontId="0" fillId="0" borderId="2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4" fontId="0" fillId="0" borderId="2" xfId="0" applyNumberFormat="1" applyBorder="1"/>
    <xf numFmtId="0" fontId="0" fillId="0" borderId="2" xfId="0" applyBorder="1" applyAlignment="1">
      <alignment horizontal="center"/>
    </xf>
    <xf numFmtId="9" fontId="0" fillId="3" borderId="2" xfId="0" applyNumberFormat="1" applyFill="1" applyBorder="1" applyAlignment="1">
      <alignment horizontal="center"/>
    </xf>
    <xf numFmtId="0" fontId="0" fillId="9" borderId="0" xfId="0" applyFill="1"/>
    <xf numFmtId="167" fontId="0" fillId="21" borderId="0" xfId="0" applyNumberFormat="1" applyFill="1"/>
    <xf numFmtId="1" fontId="0" fillId="19" borderId="0" xfId="0" applyNumberFormat="1" applyFill="1"/>
    <xf numFmtId="0" fontId="0" fillId="22" borderId="0" xfId="0" applyFill="1"/>
    <xf numFmtId="0" fontId="0" fillId="20" borderId="2" xfId="0" applyFill="1" applyBorder="1"/>
    <xf numFmtId="0" fontId="0" fillId="20" borderId="14" xfId="0" applyFill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3" fillId="23" borderId="25" xfId="0" applyFont="1" applyFill="1" applyBorder="1" applyAlignment="1">
      <alignment horizontal="center" vertical="center"/>
    </xf>
    <xf numFmtId="0" fontId="0" fillId="16" borderId="14" xfId="0" applyFill="1" applyBorder="1" applyAlignment="1">
      <alignment horizontal="center" vertical="center"/>
    </xf>
    <xf numFmtId="0" fontId="3" fillId="23" borderId="26" xfId="0" applyFont="1" applyFill="1" applyBorder="1"/>
    <xf numFmtId="0" fontId="3" fillId="23" borderId="25" xfId="0" applyFont="1" applyFill="1" applyBorder="1"/>
    <xf numFmtId="0" fontId="12" fillId="24" borderId="0" xfId="0" applyFont="1" applyFill="1"/>
    <xf numFmtId="0" fontId="0" fillId="24" borderId="0" xfId="0" applyFill="1"/>
    <xf numFmtId="0" fontId="3" fillId="23" borderId="25" xfId="0" applyFont="1" applyFill="1" applyBorder="1" applyAlignment="1">
      <alignment horizontal="left"/>
    </xf>
    <xf numFmtId="0" fontId="13" fillId="24" borderId="0" xfId="0" applyFont="1" applyFill="1"/>
    <xf numFmtId="0" fontId="8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7" fillId="8" borderId="0" xfId="0" applyFont="1" applyFill="1" applyAlignment="1">
      <alignment horizontal="center" vertical="center" wrapText="1"/>
    </xf>
    <xf numFmtId="49" fontId="8" fillId="3" borderId="0" xfId="0" applyNumberFormat="1" applyFont="1" applyFill="1" applyAlignment="1">
      <alignment horizontal="center" vertical="center"/>
    </xf>
    <xf numFmtId="0" fontId="0" fillId="13" borderId="0" xfId="0" applyFill="1" applyAlignment="1">
      <alignment horizontal="center" wrapText="1"/>
    </xf>
    <xf numFmtId="0" fontId="0" fillId="13" borderId="3" xfId="0" applyFill="1" applyBorder="1" applyAlignment="1">
      <alignment horizontal="center" wrapText="1"/>
    </xf>
    <xf numFmtId="0" fontId="3" fillId="9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/>
    </xf>
    <xf numFmtId="0" fontId="11" fillId="18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0" fillId="0" borderId="0" xfId="0" applyNumberFormat="1"/>
  </cellXfs>
  <cellStyles count="2">
    <cellStyle name="Comma" xfId="1" builtinId="3"/>
    <cellStyle name="Normal" xfId="0" builtinId="0"/>
  </cellStyles>
  <dxfs count="9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68" formatCode="d/mm/yyyy"/>
    </dxf>
    <dxf>
      <numFmt numFmtId="0" formatCode="General"/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m/d/yyyy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m/d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92D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m/d/yyyy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top style="thin">
          <color theme="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  <vertical/>
        <horizontal/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b/>
        <i val="0"/>
        <strike val="0"/>
        <sz val="28"/>
        <color theme="1"/>
        <name val="ADLaM Display"/>
        <scheme val="none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/>
      </border>
    </dxf>
  </dxfs>
  <tableStyles count="2" defaultTableStyle="TableStyleMedium2" defaultPivotStyle="PivotStyleLight16">
    <tableStyle name="SlicerStyleLight5 2" pivot="0" table="0" count="10" xr9:uid="{78E22A88-9F4F-47FA-9E58-2081D65D9B63}">
      <tableStyleElement type="wholeTable" dxfId="95"/>
      <tableStyleElement type="headerRow" dxfId="94"/>
    </tableStyle>
    <tableStyle name="SlicerStyleOther1 2" pivot="0" table="0" count="10" xr9:uid="{A9CE3680-ABA3-430C-8639-6812E7EDA1E4}">
      <tableStyleElement type="wholeTable" dxfId="93"/>
      <tableStyleElement type="headerRow" dxfId="92"/>
    </tableStyle>
  </tableStyles>
  <colors>
    <mruColors>
      <color rgb="FF99FF66"/>
      <color rgb="FF8BD789"/>
      <color rgb="FF9933FF"/>
    </mruColors>
  </colors>
  <extLst>
    <ext xmlns:x14="http://schemas.microsoft.com/office/spreadsheetml/2009/9/main" uri="{46F421CA-312F-682f-3DD2-61675219B42D}">
      <x14:dxfs count="16">
        <dxf>
          <font>
            <sz val="72"/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8" tint="0.79998168889431442"/>
              <bgColor theme="8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8" tint="0.59999389629810485"/>
              <bgColor theme="8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5 2">
        <x14:slicerStyle name="SlicerStyleLight5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50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>
            <a:bevelT w="82550" h="44450" prst="angle"/>
            <a:bevelB w="82550" h="44450" prst="angle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C577215-698F-410F-A6E5-3B11F828FB4A}" type="VALUE">
                  <a:rPr lang="en-US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/>
                  <a:t> 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1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8C6E652-83C4-4136-A965-E220E273C8C1}" type="VALUE">
                  <a:rPr lang="en-US"/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t>[VALUE]</a:t>
                </a:fld>
                <a:r>
                  <a:rPr lang="en-US"/>
                  <a:t> % 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418811886924725"/>
          <c:y val="0.12633342707161604"/>
          <c:w val="0.50028889600077953"/>
          <c:h val="0.90112898385790885"/>
        </c:manualLayout>
      </c:layout>
      <c:pieChart>
        <c:varyColors val="1"/>
        <c:ser>
          <c:idx val="0"/>
          <c:order val="0"/>
          <c:tx>
            <c:v>Total</c:v>
          </c:tx>
          <c:spPr>
            <a:solidFill>
              <a:schemeClr val="accent6">
                <a:lumMod val="50000"/>
              </a:schemeClr>
            </a:solidFill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  <a:scene3d>
              <a:camera prst="orthographicFront"/>
              <a:lightRig rig="threePt" dir="t"/>
            </a:scene3d>
            <a:sp3d>
              <a:bevelT w="82550" h="44450" prst="angle"/>
              <a:bevelB w="82550" h="44450" prst="angle"/>
              <a:contourClr>
                <a:srgbClr val="000000"/>
              </a:contourClr>
            </a:sp3d>
          </c:spPr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82550" h="44450" prst="angle"/>
                <a:bevelB w="82550" h="4445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BE7-4F04-9508-30D72FABB1AE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82550" h="44450" prst="angle"/>
                <a:bevelB w="82550" h="4445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6BE7-4F04-9508-30D72FABB1AE}"/>
              </c:ext>
            </c:extLst>
          </c:dPt>
          <c:dPt>
            <c:idx val="2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82550" h="44450" prst="angle"/>
                <a:bevelB w="82550" h="4445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EF5-4B17-85DB-5CD9C31227A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8C6E652-83C4-4136-A965-E220E273C8C1}" type="VALUE">
                      <a:rPr lang="en-US"/>
                      <a:pPr/>
                      <a:t>[VALUE]</a:t>
                    </a:fld>
                    <a:r>
                      <a:rPr lang="en-US"/>
                      <a:t> % </a:t>
                    </a:r>
                  </a:p>
                </c:rich>
              </c:tx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BE7-4F04-9508-30D72FABB1A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C577215-698F-410F-A6E5-3B11F828FB4A}" type="VALUE">
                      <a:rPr lang="en-US"/>
                      <a:pPr/>
                      <a:t>[VALUE]</a:t>
                    </a:fld>
                    <a:r>
                      <a:rPr lang="en-US"/>
                      <a:t> %</a:t>
                    </a:r>
                  </a:p>
                </c:rich>
              </c:tx>
              <c:dLblPos val="bestFit"/>
              <c:showLegendKey val="1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6BE7-4F04-9508-30D72FABB1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(blank)</c:v>
              </c:pt>
            </c:strLit>
          </c:cat>
          <c:val>
            <c:numLit>
              <c:formatCode>General</c:formatCode>
              <c:ptCount val="3"/>
              <c:pt idx="0">
                <c:v>615</c:v>
              </c:pt>
              <c:pt idx="1">
                <c:v>989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BE7-4F04-9508-30D72FABB1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2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  <a:scene3d>
      <a:camera prst="orthographicFront"/>
      <a:lightRig rig="threePt" dir="t"/>
    </a:scene3d>
    <a:sp3d prstMaterial="clear">
      <a:bevelT h="635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(version 2).xlsx]Sheet6!PivotTable16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66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TOTAL</a:t>
            </a:r>
            <a:r>
              <a:rPr lang="en-US" sz="16600" baseline="0">
                <a:solidFill>
                  <a:schemeClr val="lt1"/>
                </a:solidFill>
                <a:latin typeface="+mn-lt"/>
                <a:ea typeface="+mn-ea"/>
                <a:cs typeface="+mn-cs"/>
              </a:rPr>
              <a:t> - SALARY (DEPARTMENT)</a:t>
            </a:r>
            <a:endParaRPr lang="en-US" sz="166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7703593711685688E-2"/>
          <c:y val="0.15592001407432768"/>
          <c:w val="0.86852273656104406"/>
          <c:h val="0.715257593480162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Sheet6!$E$10</c:f>
              <c:strCache>
                <c:ptCount val="1"/>
                <c:pt idx="0">
                  <c:v>Sum of Monthly Salary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Sheet6!$D$11:$D$27</c:f>
              <c:strCache>
                <c:ptCount val="16"/>
                <c:pt idx="0">
                  <c:v>Ahed</c:v>
                </c:pt>
                <c:pt idx="1">
                  <c:v>Ahmad</c:v>
                </c:pt>
                <c:pt idx="2">
                  <c:v>Ailya</c:v>
                </c:pt>
                <c:pt idx="3">
                  <c:v>Alaa</c:v>
                </c:pt>
                <c:pt idx="4">
                  <c:v>Bayan</c:v>
                </c:pt>
                <c:pt idx="5">
                  <c:v>Farahad</c:v>
                </c:pt>
                <c:pt idx="6">
                  <c:v>Ghadir</c:v>
                </c:pt>
                <c:pt idx="7">
                  <c:v>Iilian</c:v>
                </c:pt>
                <c:pt idx="8">
                  <c:v>Iin</c:v>
                </c:pt>
                <c:pt idx="9">
                  <c:v>Lwiy</c:v>
                </c:pt>
                <c:pt idx="10">
                  <c:v>Muhamad</c:v>
                </c:pt>
                <c:pt idx="11">
                  <c:v>Omar</c:v>
                </c:pt>
                <c:pt idx="12">
                  <c:v>Razaan</c:v>
                </c:pt>
                <c:pt idx="13">
                  <c:v>Sandra</c:v>
                </c:pt>
                <c:pt idx="14">
                  <c:v>Susin</c:v>
                </c:pt>
                <c:pt idx="15">
                  <c:v>(blank)</c:v>
                </c:pt>
              </c:strCache>
            </c:strRef>
          </c:cat>
          <c:val>
            <c:numRef>
              <c:f>Sheet6!$E$11:$E$27</c:f>
              <c:numCache>
                <c:formatCode>General</c:formatCode>
                <c:ptCount val="16"/>
                <c:pt idx="0">
                  <c:v>2162</c:v>
                </c:pt>
                <c:pt idx="1">
                  <c:v>970</c:v>
                </c:pt>
                <c:pt idx="2">
                  <c:v>2506</c:v>
                </c:pt>
                <c:pt idx="3">
                  <c:v>930</c:v>
                </c:pt>
                <c:pt idx="4">
                  <c:v>889</c:v>
                </c:pt>
                <c:pt idx="5">
                  <c:v>1295</c:v>
                </c:pt>
                <c:pt idx="6">
                  <c:v>1560</c:v>
                </c:pt>
                <c:pt idx="7">
                  <c:v>3404</c:v>
                </c:pt>
                <c:pt idx="8">
                  <c:v>1959</c:v>
                </c:pt>
                <c:pt idx="9">
                  <c:v>1828</c:v>
                </c:pt>
                <c:pt idx="10">
                  <c:v>10413</c:v>
                </c:pt>
                <c:pt idx="11">
                  <c:v>3247</c:v>
                </c:pt>
                <c:pt idx="12">
                  <c:v>1999</c:v>
                </c:pt>
                <c:pt idx="13">
                  <c:v>3149</c:v>
                </c:pt>
                <c:pt idx="14">
                  <c:v>1479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7418-48EC-8C6D-B08462C79ECB}"/>
            </c:ext>
          </c:extLst>
        </c:ser>
        <c:ser>
          <c:idx val="1"/>
          <c:order val="1"/>
          <c:tx>
            <c:strRef>
              <c:f>Sheet6!$F$10</c:f>
              <c:strCache>
                <c:ptCount val="1"/>
                <c:pt idx="0">
                  <c:v>Sum of Years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Sheet6!$D$11:$D$27</c:f>
              <c:strCache>
                <c:ptCount val="16"/>
                <c:pt idx="0">
                  <c:v>Ahed</c:v>
                </c:pt>
                <c:pt idx="1">
                  <c:v>Ahmad</c:v>
                </c:pt>
                <c:pt idx="2">
                  <c:v>Ailya</c:v>
                </c:pt>
                <c:pt idx="3">
                  <c:v>Alaa</c:v>
                </c:pt>
                <c:pt idx="4">
                  <c:v>Bayan</c:v>
                </c:pt>
                <c:pt idx="5">
                  <c:v>Farahad</c:v>
                </c:pt>
                <c:pt idx="6">
                  <c:v>Ghadir</c:v>
                </c:pt>
                <c:pt idx="7">
                  <c:v>Iilian</c:v>
                </c:pt>
                <c:pt idx="8">
                  <c:v>Iin</c:v>
                </c:pt>
                <c:pt idx="9">
                  <c:v>Lwiy</c:v>
                </c:pt>
                <c:pt idx="10">
                  <c:v>Muhamad</c:v>
                </c:pt>
                <c:pt idx="11">
                  <c:v>Omar</c:v>
                </c:pt>
                <c:pt idx="12">
                  <c:v>Razaan</c:v>
                </c:pt>
                <c:pt idx="13">
                  <c:v>Sandra</c:v>
                </c:pt>
                <c:pt idx="14">
                  <c:v>Susin</c:v>
                </c:pt>
                <c:pt idx="15">
                  <c:v>(blank)</c:v>
                </c:pt>
              </c:strCache>
            </c:strRef>
          </c:cat>
          <c:val>
            <c:numRef>
              <c:f>Sheet6!$F$11:$F$27</c:f>
              <c:numCache>
                <c:formatCode>General</c:formatCode>
                <c:ptCount val="16"/>
                <c:pt idx="0">
                  <c:v>7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9</c:v>
                </c:pt>
                <c:pt idx="8">
                  <c:v>5</c:v>
                </c:pt>
                <c:pt idx="9">
                  <c:v>7</c:v>
                </c:pt>
                <c:pt idx="10">
                  <c:v>39</c:v>
                </c:pt>
                <c:pt idx="11">
                  <c:v>5</c:v>
                </c:pt>
                <c:pt idx="12">
                  <c:v>7</c:v>
                </c:pt>
                <c:pt idx="13">
                  <c:v>9</c:v>
                </c:pt>
                <c:pt idx="1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418-48EC-8C6D-B08462C79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955224944"/>
        <c:axId val="90982448"/>
      </c:barChart>
      <c:catAx>
        <c:axId val="195522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accent6">
                <a:lumMod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800" b="1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982448"/>
        <c:crosses val="autoZero"/>
        <c:auto val="1"/>
        <c:lblAlgn val="ctr"/>
        <c:lblOffset val="100"/>
        <c:noMultiLvlLbl val="0"/>
      </c:catAx>
      <c:valAx>
        <c:axId val="9098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0" b="0" i="1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224944"/>
        <c:crosses val="autoZero"/>
        <c:crossBetween val="between"/>
      </c:valAx>
      <c:spPr>
        <a:solidFill>
          <a:srgbClr val="00B050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outerShdw blurRad="76200" dir="18900000" sy="23000" kx="-1200000" algn="bl" rotWithShape="0">
        <a:prstClr val="black">
          <a:alpha val="20000"/>
        </a:prstClr>
      </a:outerShdw>
      <a:softEdge rad="317500"/>
    </a:effectLst>
    <a:scene3d>
      <a:camera prst="orthographicFront"/>
      <a:lightRig rig="threePt" dir="t"/>
    </a:scene3d>
    <a:sp3d prstMaterial="clear">
      <a:bevelT h="635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(version 2).xlsx]Sheet6!PivotTable3</c:name>
    <c:fmtId val="4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579870041370457E-2"/>
          <c:y val="0.13620265398762327"/>
          <c:w val="0.79255026837043296"/>
          <c:h val="0.820219249426282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Sheet6!$P$9</c:f>
              <c:strCache>
                <c:ptCount val="1"/>
                <c:pt idx="0">
                  <c:v>Sum of 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Sheet6!$O$10:$O$13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Sheet6!$P$10:$P$13</c:f>
              <c:numCache>
                <c:formatCode>General</c:formatCode>
                <c:ptCount val="3"/>
                <c:pt idx="0">
                  <c:v>59</c:v>
                </c:pt>
                <c:pt idx="1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F9-494A-9299-4C23D0927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53596736"/>
        <c:axId val="1953597216"/>
      </c:barChart>
      <c:lineChart>
        <c:grouping val="standard"/>
        <c:varyColors val="0"/>
        <c:ser>
          <c:idx val="1"/>
          <c:order val="1"/>
          <c:tx>
            <c:strRef>
              <c:f>Sheet6!$Q$9</c:f>
              <c:strCache>
                <c:ptCount val="1"/>
                <c:pt idx="0">
                  <c:v>Sum of Unpaid Leaves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Sheet6!$O$10:$O$13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Sheet6!$Q$10:$Q$13</c:f>
              <c:numCache>
                <c:formatCode>General</c:formatCode>
                <c:ptCount val="3"/>
                <c:pt idx="0">
                  <c:v>4</c:v>
                </c:pt>
                <c:pt idx="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F9-494A-9299-4C23D0927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886992"/>
        <c:axId val="1953595296"/>
      </c:lineChart>
      <c:catAx>
        <c:axId val="1953596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97216"/>
        <c:crosses val="autoZero"/>
        <c:auto val="1"/>
        <c:lblAlgn val="ctr"/>
        <c:lblOffset val="100"/>
        <c:noMultiLvlLbl val="0"/>
      </c:catAx>
      <c:valAx>
        <c:axId val="195359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3596736"/>
        <c:crosses val="autoZero"/>
        <c:crossBetween val="between"/>
      </c:valAx>
      <c:valAx>
        <c:axId val="19535952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886992"/>
        <c:crosses val="max"/>
        <c:crossBetween val="between"/>
      </c:valAx>
      <c:catAx>
        <c:axId val="298886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3595296"/>
        <c:crosses val="autoZero"/>
        <c:auto val="1"/>
        <c:lblAlgn val="ctr"/>
        <c:lblOffset val="100"/>
        <c:noMultiLvlLbl val="0"/>
      </c:catAx>
      <c:spPr>
        <a:solidFill>
          <a:schemeClr val="accent6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8004862848882659"/>
          <c:y val="0.37277734673978002"/>
          <c:w val="0.11967405592603753"/>
          <c:h val="0.451564196119958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(version 2).xlsx]Sheet6!PivotTable6</c:name>
    <c:fmtId val="4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670434013427877"/>
          <c:y val="0.14809062061686734"/>
          <c:w val="0.8067258305419005"/>
          <c:h val="0.713238761821438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Sheet6!$I$15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Sheet6!$H$16:$H$27</c:f>
              <c:strCache>
                <c:ptCount val="11"/>
                <c:pt idx="0">
                  <c:v>Account Management</c:v>
                </c:pt>
                <c:pt idx="1">
                  <c:v>Facilities/Engineering</c:v>
                </c:pt>
                <c:pt idx="2">
                  <c:v>Green Building</c:v>
                </c:pt>
                <c:pt idx="3">
                  <c:v>IT</c:v>
                </c:pt>
                <c:pt idx="4">
                  <c:v>Major Mfg Projects</c:v>
                </c:pt>
                <c:pt idx="5">
                  <c:v>Manufacturing</c:v>
                </c:pt>
                <c:pt idx="6">
                  <c:v>Marketing</c:v>
                </c:pt>
                <c:pt idx="7">
                  <c:v>Product Development</c:v>
                </c:pt>
                <c:pt idx="8">
                  <c:v>Quality Control</c:v>
                </c:pt>
                <c:pt idx="9">
                  <c:v>Sales</c:v>
                </c:pt>
                <c:pt idx="10">
                  <c:v>(blank)</c:v>
                </c:pt>
              </c:strCache>
            </c:strRef>
          </c:cat>
          <c:val>
            <c:numRef>
              <c:f>Sheet6!$I$16:$I$27</c:f>
              <c:numCache>
                <c:formatCode>General</c:formatCode>
                <c:ptCount val="11"/>
                <c:pt idx="0">
                  <c:v>1</c:v>
                </c:pt>
                <c:pt idx="1">
                  <c:v>7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5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C-4906-BFD0-F12420011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0556783"/>
        <c:axId val="930546703"/>
      </c:barChart>
      <c:catAx>
        <c:axId val="930556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46703"/>
        <c:crosses val="autoZero"/>
        <c:auto val="1"/>
        <c:lblAlgn val="ctr"/>
        <c:lblOffset val="100"/>
        <c:noMultiLvlLbl val="0"/>
      </c:catAx>
      <c:valAx>
        <c:axId val="93054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556783"/>
        <c:crosses val="autoZero"/>
        <c:crossBetween val="between"/>
      </c:valAx>
      <c:spPr>
        <a:solidFill>
          <a:schemeClr val="accent6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(version 2).xlsx]Sheet6!PivotTable2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6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3800" b="1">
                <a:solidFill>
                  <a:schemeClr val="bg1"/>
                </a:solidFill>
              </a:rPr>
              <a:t>JOB</a:t>
            </a:r>
            <a:r>
              <a:rPr lang="en-US" sz="13800" b="1" baseline="0">
                <a:solidFill>
                  <a:schemeClr val="bg1"/>
                </a:solidFill>
              </a:rPr>
              <a:t> RATE - DEPARTMENT</a:t>
            </a:r>
            <a:r>
              <a:rPr lang="en-US" sz="11500" b="1" baseline="0">
                <a:solidFill>
                  <a:schemeClr val="bg1"/>
                </a:solidFill>
              </a:rPr>
              <a:t> </a:t>
            </a:r>
            <a:endParaRPr lang="en-US" sz="11500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8007308701796888"/>
          <c:y val="2.8907587748005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328818897637805E-2"/>
          <c:y val="0.16280298059333495"/>
          <c:w val="0.8906247249205641"/>
          <c:h val="0.56713841167581314"/>
        </c:manualLayout>
      </c:layout>
      <c:lineChart>
        <c:grouping val="standard"/>
        <c:varyColors val="0"/>
        <c:ser>
          <c:idx val="0"/>
          <c:order val="0"/>
          <c:tx>
            <c:strRef>
              <c:f>Sheet6!$M$9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Sheet6!$L$10:$L$21</c:f>
              <c:strCache>
                <c:ptCount val="11"/>
                <c:pt idx="0">
                  <c:v>Account Management</c:v>
                </c:pt>
                <c:pt idx="1">
                  <c:v>Facilities/Engineering</c:v>
                </c:pt>
                <c:pt idx="2">
                  <c:v>Green Building</c:v>
                </c:pt>
                <c:pt idx="3">
                  <c:v>IT</c:v>
                </c:pt>
                <c:pt idx="4">
                  <c:v>Major Mfg Projects</c:v>
                </c:pt>
                <c:pt idx="5">
                  <c:v>Manufacturing</c:v>
                </c:pt>
                <c:pt idx="6">
                  <c:v>Marketing</c:v>
                </c:pt>
                <c:pt idx="7">
                  <c:v>Product Development</c:v>
                </c:pt>
                <c:pt idx="8">
                  <c:v>Quality Control</c:v>
                </c:pt>
                <c:pt idx="9">
                  <c:v>Sales</c:v>
                </c:pt>
                <c:pt idx="10">
                  <c:v>(blank)</c:v>
                </c:pt>
              </c:strCache>
            </c:strRef>
          </c:cat>
          <c:val>
            <c:numRef>
              <c:f>Sheet6!$M$10:$M$21</c:f>
              <c:numCache>
                <c:formatCode>General</c:formatCode>
                <c:ptCount val="11"/>
                <c:pt idx="0">
                  <c:v>14</c:v>
                </c:pt>
                <c:pt idx="1">
                  <c:v>10</c:v>
                </c:pt>
                <c:pt idx="2">
                  <c:v>4.5</c:v>
                </c:pt>
                <c:pt idx="3">
                  <c:v>1</c:v>
                </c:pt>
                <c:pt idx="4">
                  <c:v>2</c:v>
                </c:pt>
                <c:pt idx="5">
                  <c:v>10</c:v>
                </c:pt>
                <c:pt idx="6">
                  <c:v>3</c:v>
                </c:pt>
                <c:pt idx="7">
                  <c:v>3</c:v>
                </c:pt>
                <c:pt idx="8">
                  <c:v>10</c:v>
                </c:pt>
                <c:pt idx="9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1B-4CE5-B322-849FED5F9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69856"/>
        <c:axId val="87270816"/>
      </c:lineChart>
      <c:catAx>
        <c:axId val="8726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70816"/>
        <c:crosses val="autoZero"/>
        <c:auto val="1"/>
        <c:lblAlgn val="ctr"/>
        <c:lblOffset val="100"/>
        <c:noMultiLvlLbl val="0"/>
      </c:catAx>
      <c:valAx>
        <c:axId val="8727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69856"/>
        <c:crosses val="autoZero"/>
        <c:crossBetween val="between"/>
      </c:valAx>
      <c:spPr>
        <a:solidFill>
          <a:schemeClr val="accent6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(version 2).xlsx]Sheet6!PivotTable8</c:name>
    <c:fmtId val="6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5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layout>
            <c:manualLayout>
              <c:x val="-0.27252695559869422"/>
              <c:y val="7.564550492077794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5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layout>
            <c:manualLayout>
              <c:x val="0.13063392006747079"/>
              <c:y val="-0.1789267829036392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5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  <c:pivotFmt>
        <c:idx val="5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5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88900" sx="102000" sy="102000" algn="ctr" rotWithShape="0">
              <a:prstClr val="black">
                <a:alpha val="20000"/>
              </a:prstClr>
            </a:outerShdw>
          </a:effectLst>
          <a:scene3d>
            <a:camera prst="orthographicFront"/>
            <a:lightRig rig="threePt" dir="t"/>
          </a:scene3d>
          <a:sp3d prstMaterial="matte"/>
        </c:spPr>
      </c:pivotFmt>
    </c:pivotFmts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3711911357340723E-2"/>
          <c:y val="0.18683160498915469"/>
          <c:w val="0.69270054020255778"/>
          <c:h val="0.74684890420210359"/>
        </c:manualLayout>
      </c:layout>
      <c:pie3DChart>
        <c:varyColors val="1"/>
        <c:ser>
          <c:idx val="0"/>
          <c:order val="0"/>
          <c:tx>
            <c:strRef>
              <c:f>Sheet6!$M$23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B66-4D1D-AB1A-80E6C03BC82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B66-4D1D-AB1A-80E6C03BC82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B66-4D1D-AB1A-80E6C03BC821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3B66-4D1D-AB1A-80E6C03BC821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3B66-4D1D-AB1A-80E6C03BC821}"/>
              </c:ext>
            </c:extLst>
          </c:dPt>
          <c:dLbls>
            <c:dLbl>
              <c:idx val="0"/>
              <c:layout>
                <c:manualLayout>
                  <c:x val="-0.27252695559869422"/>
                  <c:y val="7.564550492077794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B66-4D1D-AB1A-80E6C03BC821}"/>
                </c:ext>
              </c:extLst>
            </c:dLbl>
            <c:dLbl>
              <c:idx val="1"/>
              <c:layout>
                <c:manualLayout>
                  <c:x val="0.13063392006747079"/>
                  <c:y val="-0.1789267829036392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B66-4D1D-AB1A-80E6C03BC82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7-3B66-4D1D-AB1A-80E6C03BC8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Sheet6!$L$24:$L$29</c:f>
              <c:strCache>
                <c:ptCount val="5"/>
                <c:pt idx="0">
                  <c:v>Main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Sheet6!$M$24:$M$29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2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B66-4D1D-AB1A-80E6C03BC82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793167128347185"/>
          <c:y val="0.1952131367475447"/>
          <c:w val="0.21052631578947367"/>
          <c:h val="0.684803118063974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5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[Question (version 2).xlsx]Sheet6!PivotTable1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3800" b="1" i="0" u="none" strike="noStrike" kern="1200" spc="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r>
              <a:rPr lang="en-US" sz="13800" b="1">
                <a:solidFill>
                  <a:schemeClr val="bg2"/>
                </a:solidFill>
              </a:rPr>
              <a:t>TOTAL</a:t>
            </a:r>
            <a:r>
              <a:rPr lang="en-US" sz="13800" b="1" baseline="0">
                <a:solidFill>
                  <a:schemeClr val="bg2"/>
                </a:solidFill>
              </a:rPr>
              <a:t> EMPLOYES </a:t>
            </a:r>
            <a:r>
              <a:rPr lang="en-US" sz="19900" b="1" baseline="0">
                <a:solidFill>
                  <a:schemeClr val="bg2"/>
                </a:solidFill>
              </a:rPr>
              <a:t>-</a:t>
            </a:r>
            <a:r>
              <a:rPr lang="en-US" sz="13800" b="1" baseline="0">
                <a:solidFill>
                  <a:schemeClr val="bg2"/>
                </a:solidFill>
              </a:rPr>
              <a:t> SICK LEAVES</a:t>
            </a:r>
            <a:endParaRPr lang="en-US" sz="13800" b="1">
              <a:solidFill>
                <a:schemeClr val="bg2"/>
              </a:solidFill>
            </a:endParaRPr>
          </a:p>
        </c:rich>
      </c:tx>
      <c:layout>
        <c:manualLayout>
          <c:xMode val="edge"/>
          <c:yMode val="edge"/>
          <c:x val="0.32740991148279414"/>
          <c:y val="1.3683401039838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800" b="1" i="0" u="none" strike="noStrike" kern="1200" spc="0" baseline="0">
              <a:solidFill>
                <a:schemeClr val="bg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3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496714795351249"/>
          <c:y val="0.16718245115193933"/>
          <c:w val="0.79640099865565583"/>
          <c:h val="0.733239756256582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Sheet6!$I$10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Sheet6!$H$11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Sheet6!$I$11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8E74-4764-9F5C-B1B144090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13946192"/>
        <c:axId val="813949072"/>
      </c:barChart>
      <c:catAx>
        <c:axId val="81394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6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49072"/>
        <c:crosses val="autoZero"/>
        <c:auto val="1"/>
        <c:lblAlgn val="ctr"/>
        <c:lblOffset val="100"/>
        <c:noMultiLvlLbl val="0"/>
      </c:catAx>
      <c:valAx>
        <c:axId val="813949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5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946192"/>
        <c:crosses val="autoZero"/>
        <c:crossBetween val="between"/>
      </c:valAx>
      <c:spPr>
        <a:solidFill>
          <a:srgbClr val="00B050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36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chart" Target="../charts/chart3.xml"/><Relationship Id="rId7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chart" Target="../charts/chart6.xml"/><Relationship Id="rId5" Type="http://schemas.openxmlformats.org/officeDocument/2006/relationships/image" Target="../media/image1.png"/><Relationship Id="rId10" Type="http://schemas.openxmlformats.org/officeDocument/2006/relationships/image" Target="../media/image5.svg"/><Relationship Id="rId4" Type="http://schemas.openxmlformats.org/officeDocument/2006/relationships/chart" Target="../charts/chart4.xml"/><Relationship Id="rId9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32</xdr:row>
      <xdr:rowOff>76200</xdr:rowOff>
    </xdr:from>
    <xdr:to>
      <xdr:col>153</xdr:col>
      <xdr:colOff>622800</xdr:colOff>
      <xdr:row>96</xdr:row>
      <xdr:rowOff>198180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138CE14C-FFBE-7C63-4316-CEDE7A670D3A}"/>
            </a:ext>
          </a:extLst>
        </xdr:cNvPr>
        <xdr:cNvSpPr/>
      </xdr:nvSpPr>
      <xdr:spPr>
        <a:xfrm>
          <a:off x="533400" y="7467600"/>
          <a:ext cx="106236000" cy="14752380"/>
        </a:xfrm>
        <a:prstGeom prst="roundRect">
          <a:avLst>
            <a:gd name="adj" fmla="val 177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107</xdr:col>
      <xdr:colOff>364751</xdr:colOff>
      <xdr:row>60</xdr:row>
      <xdr:rowOff>80848</xdr:rowOff>
    </xdr:from>
    <xdr:to>
      <xdr:col>128</xdr:col>
      <xdr:colOff>326951</xdr:colOff>
      <xdr:row>87</xdr:row>
      <xdr:rowOff>201448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B07A60A-DAC9-E5D1-8B60-E1BBF402C24C}"/>
            </a:ext>
          </a:extLst>
        </xdr:cNvPr>
        <xdr:cNvSpPr/>
      </xdr:nvSpPr>
      <xdr:spPr>
        <a:xfrm>
          <a:off x="74964551" y="13873048"/>
          <a:ext cx="14364000" cy="6292800"/>
        </a:xfrm>
        <a:prstGeom prst="roundRect">
          <a:avLst/>
        </a:prstGeom>
        <a:effectLst>
          <a:reflection blurRad="6350" stA="50000" endA="275" endPos="40000" dist="101600" dir="5400000" sy="-100000" algn="bl" rotWithShape="0"/>
        </a:effectLst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96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bg2">
                  <a:lumMod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Monthly salary</a:t>
          </a:r>
        </a:p>
        <a:p>
          <a:pPr algn="ctr"/>
          <a:endParaRPr lang="en-US" sz="9600" b="1" i="0" u="none" strike="noStrike" cap="none" spc="0">
            <a:ln w="9525">
              <a:solidFill>
                <a:schemeClr val="bg1"/>
              </a:solidFill>
              <a:prstDash val="solid"/>
            </a:ln>
            <a:solidFill>
              <a:schemeClr val="bg2">
                <a:lumMod val="25000"/>
              </a:schemeClr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  <a:p>
          <a:pPr algn="ctr"/>
          <a:r>
            <a:rPr lang="en-US" sz="115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= 37,790</a:t>
          </a:r>
          <a:r>
            <a:rPr lang="en-US" sz="9600" b="1">
              <a:effectLst/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 </a:t>
          </a:r>
          <a:r>
            <a:rPr lang="en-US" sz="115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k</a:t>
          </a:r>
          <a:endParaRPr lang="en-US" sz="115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</xdr:col>
      <xdr:colOff>198120</xdr:colOff>
      <xdr:row>42</xdr:row>
      <xdr:rowOff>46954</xdr:rowOff>
    </xdr:from>
    <xdr:to>
      <xdr:col>18</xdr:col>
      <xdr:colOff>350520</xdr:colOff>
      <xdr:row>72</xdr:row>
      <xdr:rowOff>122554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D4950E9-680D-AE44-7D5C-B1D6F929A144}"/>
            </a:ext>
          </a:extLst>
        </xdr:cNvPr>
        <xdr:cNvSpPr/>
      </xdr:nvSpPr>
      <xdr:spPr>
        <a:xfrm>
          <a:off x="1569720" y="9724354"/>
          <a:ext cx="12344400" cy="6933600"/>
        </a:xfrm>
        <a:prstGeom prst="roundRect">
          <a:avLst/>
        </a:prstGeom>
        <a:effectLst>
          <a:reflection blurRad="6350" stA="50000" endA="275" endPos="40000" dist="101600" dir="5400000" sy="-100000" algn="bl" rotWithShape="0"/>
        </a:effectLst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96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bg2">
                  <a:lumMod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Annual Salary</a:t>
          </a:r>
          <a:endParaRPr lang="en-US" sz="9600" b="1" i="0" u="none" strike="noStrike" cap="none" spc="0">
            <a:ln>
              <a:noFill/>
            </a:ln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9600" b="1" i="0" u="none" strike="noStrike" cap="none" spc="0">
            <a:ln w="9525">
              <a:solidFill>
                <a:schemeClr val="bg1"/>
              </a:solidFill>
              <a:prstDash val="solid"/>
            </a:ln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96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= 453,480</a:t>
          </a:r>
          <a:r>
            <a:rPr lang="en-US" sz="96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en-US" sz="96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k</a:t>
          </a:r>
          <a:endParaRPr lang="en-US" sz="9600" b="1" cap="none" spc="0">
            <a:ln w="9525">
              <a:solidFill>
                <a:sysClr val="windowText" lastClr="000000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Aharoni" panose="020F0502020204030204" pitchFamily="2" charset="-79"/>
            <a:ea typeface="ADLaM Display" panose="02010000000000000000" pitchFamily="2" charset="0"/>
            <a:cs typeface="Aharoni" panose="020F0502020204030204" pitchFamily="2" charset="-79"/>
          </a:endParaRPr>
        </a:p>
      </xdr:txBody>
    </xdr:sp>
    <xdr:clientData/>
  </xdr:twoCellAnchor>
  <xdr:twoCellAnchor>
    <xdr:from>
      <xdr:col>135</xdr:col>
      <xdr:colOff>228600</xdr:colOff>
      <xdr:row>43</xdr:row>
      <xdr:rowOff>0</xdr:rowOff>
    </xdr:from>
    <xdr:to>
      <xdr:col>153</xdr:col>
      <xdr:colOff>228600</xdr:colOff>
      <xdr:row>73</xdr:row>
      <xdr:rowOff>76200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F6DDDEE-A43C-BBEE-865A-D0B1F32EC6BB}"/>
            </a:ext>
          </a:extLst>
        </xdr:cNvPr>
        <xdr:cNvSpPr/>
      </xdr:nvSpPr>
      <xdr:spPr>
        <a:xfrm>
          <a:off x="94030800" y="9906000"/>
          <a:ext cx="12344400" cy="6934200"/>
        </a:xfrm>
        <a:prstGeom prst="roundRect">
          <a:avLst/>
        </a:prstGeom>
        <a:effectLst>
          <a:reflection blurRad="6350" stA="50000" endA="275" endPos="40000" dist="101600" dir="5400000" sy="-100000" algn="bl" rotWithShape="0"/>
        </a:effectLst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5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bg2">
                  <a:lumMod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of Department</a:t>
          </a:r>
          <a:endParaRPr lang="en-US" sz="7200" b="1" i="0" u="none" strike="noStrike" cap="none" spc="0">
            <a:ln>
              <a:noFill/>
            </a:ln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72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38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= 19</a:t>
          </a:r>
          <a:r>
            <a:rPr lang="en-US" sz="13800" b="1" u="non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endParaRPr lang="en-US" sz="13800" b="1" u="none" cap="none" spc="0">
            <a:ln w="9525">
              <a:solidFill>
                <a:schemeClr val="bg1"/>
              </a:solidFill>
              <a:prstDash val="solid"/>
            </a:ln>
            <a:solidFill>
              <a:sysClr val="windowText" lastClr="000000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62</xdr:col>
      <xdr:colOff>381000</xdr:colOff>
      <xdr:row>62</xdr:row>
      <xdr:rowOff>0</xdr:rowOff>
    </xdr:from>
    <xdr:to>
      <xdr:col>83</xdr:col>
      <xdr:colOff>263434</xdr:colOff>
      <xdr:row>92</xdr:row>
      <xdr:rowOff>152399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A7264B96-C370-DAA0-3E7A-7B1B5997590B}"/>
            </a:ext>
          </a:extLst>
        </xdr:cNvPr>
        <xdr:cNvSpPr/>
      </xdr:nvSpPr>
      <xdr:spPr>
        <a:xfrm>
          <a:off x="44119800" y="14249400"/>
          <a:ext cx="14284234" cy="7010399"/>
        </a:xfrm>
        <a:prstGeom prst="roundRect">
          <a:avLst/>
        </a:prstGeom>
        <a:effectLst>
          <a:reflection blurRad="6350" stA="50000" endA="275" endPos="40000" dist="101600" dir="5400000" sy="-100000" algn="bl" rotWithShape="0"/>
        </a:effectLst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500" b="0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bg2">
                  <a:lumMod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Overtime Hour</a:t>
          </a:r>
          <a:endParaRPr lang="en-US" sz="7200" b="0" i="0" u="none" strike="noStrike" cap="none" spc="0">
            <a:ln>
              <a:noFill/>
            </a:ln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3800" b="0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= 5,491</a:t>
          </a:r>
          <a:r>
            <a:rPr lang="en-US" sz="13800" b="0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  <a:r>
            <a:rPr lang="en-US" sz="13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k</a:t>
          </a:r>
          <a:endParaRPr lang="en-US" sz="13800" b="0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25</xdr:col>
      <xdr:colOff>598408</xdr:colOff>
      <xdr:row>55</xdr:row>
      <xdr:rowOff>185471</xdr:rowOff>
    </xdr:from>
    <xdr:to>
      <xdr:col>43</xdr:col>
      <xdr:colOff>598408</xdr:colOff>
      <xdr:row>83</xdr:row>
      <xdr:rowOff>76200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DD61BCA-D4D3-CF1E-7706-C6BAD3890C2B}"/>
            </a:ext>
          </a:extLst>
        </xdr:cNvPr>
        <xdr:cNvSpPr/>
      </xdr:nvSpPr>
      <xdr:spPr>
        <a:xfrm>
          <a:off x="18962608" y="12834671"/>
          <a:ext cx="12344400" cy="6291529"/>
        </a:xfrm>
        <a:prstGeom prst="roundRect">
          <a:avLst/>
        </a:prstGeom>
        <a:effectLst>
          <a:reflection blurRad="6350" stA="50000" endA="275" endPos="40000" dist="101600" dir="5400000" sy="-100000" algn="bl" rotWithShape="0"/>
        </a:effectLst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5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bg2">
                  <a:lumMod val="25000"/>
                </a:schemeClr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Total Country</a:t>
          </a:r>
          <a:endParaRPr lang="en-US" sz="7200" b="1" i="0" u="none" strike="noStrike" cap="none" spc="0">
            <a:ln>
              <a:noFill/>
            </a:ln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n-US" sz="7200" b="1" i="0" u="none" strike="noStrike" cap="none" spc="0">
            <a:ln>
              <a:noFill/>
            </a:ln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US" sz="13800" b="1" i="0" u="none" strike="noStrike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= 9</a:t>
          </a:r>
          <a:r>
            <a:rPr lang="en-US" sz="138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</a:t>
          </a:r>
        </a:p>
      </xdr:txBody>
    </xdr:sp>
    <xdr:clientData/>
  </xdr:twoCellAnchor>
  <xdr:twoCellAnchor>
    <xdr:from>
      <xdr:col>7</xdr:col>
      <xdr:colOff>457200</xdr:colOff>
      <xdr:row>2</xdr:row>
      <xdr:rowOff>152400</xdr:rowOff>
    </xdr:from>
    <xdr:to>
      <xdr:col>134</xdr:col>
      <xdr:colOff>381000</xdr:colOff>
      <xdr:row>31</xdr:row>
      <xdr:rowOff>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EEDAE2B-EBBB-F6E8-6CF1-F1FC576B7D24}"/>
            </a:ext>
          </a:extLst>
        </xdr:cNvPr>
        <xdr:cNvSpPr/>
      </xdr:nvSpPr>
      <xdr:spPr>
        <a:xfrm>
          <a:off x="5257800" y="609600"/>
          <a:ext cx="88239600" cy="6553201"/>
        </a:xfrm>
        <a:prstGeom prst="roundRect">
          <a:avLst/>
        </a:prstGeom>
        <a:effectLst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4400" b="0" cap="none" spc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EMPLOYESS DASHBOARD</a:t>
          </a:r>
          <a:r>
            <a:rPr lang="en-US" sz="34400" b="0" cap="none" spc="0" baseline="0">
              <a:ln w="0"/>
              <a:gradFill>
                <a:gsLst>
                  <a:gs pos="21000">
                    <a:srgbClr val="53575C"/>
                  </a:gs>
                  <a:gs pos="88000">
                    <a:srgbClr val="C5C7CA"/>
                  </a:gs>
                </a:gsLst>
                <a:lin ang="5400000"/>
              </a:gradFill>
              <a:effectLst/>
            </a:rPr>
            <a:t> </a:t>
          </a:r>
          <a:endParaRPr lang="en-US" sz="34400" b="0" cap="none" spc="0">
            <a:ln w="0"/>
            <a:gradFill>
              <a:gsLst>
                <a:gs pos="21000">
                  <a:srgbClr val="53575C"/>
                </a:gs>
                <a:gs pos="88000">
                  <a:srgbClr val="C5C7CA"/>
                </a:gs>
              </a:gsLst>
              <a:lin ang="5400000"/>
            </a:gradFill>
            <a:effectLst/>
          </a:endParaRPr>
        </a:p>
      </xdr:txBody>
    </xdr:sp>
    <xdr:clientData/>
  </xdr:twoCellAnchor>
  <xdr:twoCellAnchor>
    <xdr:from>
      <xdr:col>172</xdr:col>
      <xdr:colOff>457200</xdr:colOff>
      <xdr:row>103</xdr:row>
      <xdr:rowOff>0</xdr:rowOff>
    </xdr:from>
    <xdr:to>
      <xdr:col>212</xdr:col>
      <xdr:colOff>76200</xdr:colOff>
      <xdr:row>230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3842AF0-6BE6-4F13-3B2A-3AD592A77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76200</xdr:colOff>
      <xdr:row>104</xdr:row>
      <xdr:rowOff>0</xdr:rowOff>
    </xdr:from>
    <xdr:to>
      <xdr:col>69</xdr:col>
      <xdr:colOff>457200</xdr:colOff>
      <xdr:row>245</xdr:row>
      <xdr:rowOff>152400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2EC9EE7F-FAB4-C123-BD7D-C1C8B1259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179</xdr:col>
      <xdr:colOff>76200</xdr:colOff>
      <xdr:row>108</xdr:row>
      <xdr:rowOff>76200</xdr:rowOff>
    </xdr:from>
    <xdr:to>
      <xdr:col>205</xdr:col>
      <xdr:colOff>152400</xdr:colOff>
      <xdr:row>121</xdr:row>
      <xdr:rowOff>76200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60E9269-F774-E822-E25C-3C3DC8B399BA}"/>
            </a:ext>
          </a:extLst>
        </xdr:cNvPr>
        <xdr:cNvSpPr/>
      </xdr:nvSpPr>
      <xdr:spPr>
        <a:xfrm>
          <a:off x="124053600" y="24841200"/>
          <a:ext cx="17907000" cy="29718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3800" b="1"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TOTAL </a:t>
          </a:r>
          <a:r>
            <a:rPr lang="en-US" sz="16600" b="1"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-</a:t>
          </a:r>
          <a:r>
            <a:rPr lang="en-US" sz="13800" b="1">
              <a:latin typeface="+mn-lt"/>
              <a:ea typeface="ADLaM Display" panose="02010000000000000000" pitchFamily="2" charset="0"/>
              <a:cs typeface="ADLaM Display" panose="02010000000000000000" pitchFamily="2" charset="0"/>
            </a:rPr>
            <a:t> OVERTIME</a:t>
          </a:r>
          <a:endParaRPr lang="en-US" sz="16600" b="1">
            <a:latin typeface="+mn-lt"/>
            <a:ea typeface="ADLaM Display" panose="02010000000000000000" pitchFamily="2" charset="0"/>
            <a:cs typeface="ADLaM Display" panose="02010000000000000000" pitchFamily="2" charset="0"/>
          </a:endParaRPr>
        </a:p>
      </xdr:txBody>
    </xdr:sp>
    <xdr:clientData/>
  </xdr:twoCellAnchor>
  <xdr:twoCellAnchor>
    <xdr:from>
      <xdr:col>4</xdr:col>
      <xdr:colOff>304800</xdr:colOff>
      <xdr:row>247</xdr:row>
      <xdr:rowOff>76200</xdr:rowOff>
    </xdr:from>
    <xdr:to>
      <xdr:col>69</xdr:col>
      <xdr:colOff>0</xdr:colOff>
      <xdr:row>397</xdr:row>
      <xdr:rowOff>76200</xdr:rowOff>
    </xdr:to>
    <xdr:graphicFrame macro="">
      <xdr:nvGraphicFramePr>
        <xdr:cNvPr id="20" name="Chart 10">
          <a:extLst>
            <a:ext uri="{FF2B5EF4-FFF2-40B4-BE49-F238E27FC236}">
              <a16:creationId xmlns:a16="http://schemas.microsoft.com/office/drawing/2014/main" id="{1BC4E25D-DFBE-B357-A4FF-F115BE525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71</xdr:col>
      <xdr:colOff>228600</xdr:colOff>
      <xdr:row>103</xdr:row>
      <xdr:rowOff>76200</xdr:rowOff>
    </xdr:from>
    <xdr:to>
      <xdr:col>171</xdr:col>
      <xdr:colOff>381000</xdr:colOff>
      <xdr:row>229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012A848-6E48-4C51-AC67-AF4549D7B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154</xdr:col>
      <xdr:colOff>457200</xdr:colOff>
      <xdr:row>0</xdr:row>
      <xdr:rowOff>152400</xdr:rowOff>
    </xdr:from>
    <xdr:to>
      <xdr:col>178</xdr:col>
      <xdr:colOff>228600</xdr:colOff>
      <xdr:row>98</xdr:row>
      <xdr:rowOff>76200</xdr:rowOff>
    </xdr:to>
    <xdr:pic>
      <xdr:nvPicPr>
        <xdr:cNvPr id="16" name="chart">
          <a:extLst>
            <a:ext uri="{FF2B5EF4-FFF2-40B4-BE49-F238E27FC236}">
              <a16:creationId xmlns:a16="http://schemas.microsoft.com/office/drawing/2014/main" id="{24ED2D46-2C35-90A3-A3E3-453DB8D1A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289600" y="152400"/>
          <a:ext cx="16230600" cy="22402800"/>
        </a:xfrm>
        <a:prstGeom prst="rect">
          <a:avLst/>
        </a:prstGeom>
      </xdr:spPr>
    </xdr:pic>
    <xdr:clientData/>
  </xdr:twoCellAnchor>
  <xdr:twoCellAnchor editAs="oneCell">
    <xdr:from>
      <xdr:col>178</xdr:col>
      <xdr:colOff>457200</xdr:colOff>
      <xdr:row>46</xdr:row>
      <xdr:rowOff>0</xdr:rowOff>
    </xdr:from>
    <xdr:to>
      <xdr:col>207</xdr:col>
      <xdr:colOff>76200</xdr:colOff>
      <xdr:row>99</xdr:row>
      <xdr:rowOff>0</xdr:rowOff>
    </xdr:to>
    <xdr:pic>
      <xdr:nvPicPr>
        <xdr:cNvPr id="25" name="chart">
          <a:extLst>
            <a:ext uri="{FF2B5EF4-FFF2-40B4-BE49-F238E27FC236}">
              <a16:creationId xmlns:a16="http://schemas.microsoft.com/office/drawing/2014/main" id="{E9FE36D2-1547-A69C-8D0A-DD7E05372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748800" y="10591800"/>
          <a:ext cx="19507200" cy="12115800"/>
        </a:xfrm>
        <a:prstGeom prst="rect">
          <a:avLst/>
        </a:prstGeom>
      </xdr:spPr>
    </xdr:pic>
    <xdr:clientData/>
  </xdr:twoCellAnchor>
  <xdr:twoCellAnchor editAs="oneCell">
    <xdr:from>
      <xdr:col>179</xdr:col>
      <xdr:colOff>0</xdr:colOff>
      <xdr:row>1</xdr:row>
      <xdr:rowOff>76200</xdr:rowOff>
    </xdr:from>
    <xdr:to>
      <xdr:col>207</xdr:col>
      <xdr:colOff>0</xdr:colOff>
      <xdr:row>44</xdr:row>
      <xdr:rowOff>152399</xdr:rowOff>
    </xdr:to>
    <xdr:pic>
      <xdr:nvPicPr>
        <xdr:cNvPr id="27" name="chart">
          <a:extLst>
            <a:ext uri="{FF2B5EF4-FFF2-40B4-BE49-F238E27FC236}">
              <a16:creationId xmlns:a16="http://schemas.microsoft.com/office/drawing/2014/main" id="{A49F2442-C852-FCF3-4E7F-687280F12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977400" y="304800"/>
          <a:ext cx="19202400" cy="9982199"/>
        </a:xfrm>
        <a:prstGeom prst="rect">
          <a:avLst/>
        </a:prstGeom>
      </xdr:spPr>
    </xdr:pic>
    <xdr:clientData/>
  </xdr:twoCellAnchor>
  <xdr:twoCellAnchor>
    <xdr:from>
      <xdr:col>71</xdr:col>
      <xdr:colOff>76200</xdr:colOff>
      <xdr:row>231</xdr:row>
      <xdr:rowOff>76200</xdr:rowOff>
    </xdr:from>
    <xdr:to>
      <xdr:col>171</xdr:col>
      <xdr:colOff>381000</xdr:colOff>
      <xdr:row>358</xdr:row>
      <xdr:rowOff>0</xdr:rowOff>
    </xdr:to>
    <xdr:graphicFrame macro="">
      <xdr:nvGraphicFramePr>
        <xdr:cNvPr id="6" name="Chart 9">
          <a:extLst>
            <a:ext uri="{FF2B5EF4-FFF2-40B4-BE49-F238E27FC236}">
              <a16:creationId xmlns:a16="http://schemas.microsoft.com/office/drawing/2014/main" id="{A55BC212-C588-463D-A87C-AD73F0A5C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27</xdr:col>
      <xdr:colOff>304800</xdr:colOff>
      <xdr:row>9</xdr:row>
      <xdr:rowOff>76200</xdr:rowOff>
    </xdr:from>
    <xdr:to>
      <xdr:col>38</xdr:col>
      <xdr:colOff>76200</xdr:colOff>
      <xdr:row>27</xdr:row>
      <xdr:rowOff>152400</xdr:rowOff>
    </xdr:to>
    <xdr:pic>
      <xdr:nvPicPr>
        <xdr:cNvPr id="13" name="Graphic 12" descr="Detective male outline">
          <a:extLst>
            <a:ext uri="{FF2B5EF4-FFF2-40B4-BE49-F238E27FC236}">
              <a16:creationId xmlns:a16="http://schemas.microsoft.com/office/drawing/2014/main" id="{B3A92B2D-5381-ABB2-1163-90F3FC852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 rot="10800000" flipH="1" flipV="1">
          <a:off x="20040600" y="2133600"/>
          <a:ext cx="7315200" cy="4267200"/>
        </a:xfrm>
        <a:prstGeom prst="rect">
          <a:avLst/>
        </a:prstGeom>
      </xdr:spPr>
    </xdr:pic>
    <xdr:clientData/>
  </xdr:twoCellAnchor>
  <xdr:twoCellAnchor>
    <xdr:from>
      <xdr:col>172</xdr:col>
      <xdr:colOff>304800</xdr:colOff>
      <xdr:row>231</xdr:row>
      <xdr:rowOff>194310</xdr:rowOff>
    </xdr:from>
    <xdr:to>
      <xdr:col>212</xdr:col>
      <xdr:colOff>381000</xdr:colOff>
      <xdr:row>356</xdr:row>
      <xdr:rowOff>152400</xdr:rowOff>
    </xdr:to>
    <xdr:graphicFrame macro="">
      <xdr:nvGraphicFramePr>
        <xdr:cNvPr id="28" name="Chart 4">
          <a:extLst>
            <a:ext uri="{FF2B5EF4-FFF2-40B4-BE49-F238E27FC236}">
              <a16:creationId xmlns:a16="http://schemas.microsoft.com/office/drawing/2014/main" id="{97B2C458-2B47-EA5E-E4F4-EDA3AD1718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0.94217</cdr:x>
      <cdr:y>0.23301</cdr:y>
    </cdr:from>
    <cdr:to>
      <cdr:x>0.97108</cdr:x>
      <cdr:y>0.27184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14F40500-FDFB-304A-3373-886819571A87}"/>
            </a:ext>
          </a:extLst>
        </cdr:cNvPr>
        <cdr:cNvSpPr/>
      </cdr:nvSpPr>
      <cdr:spPr>
        <a:xfrm xmlns:a="http://schemas.openxmlformats.org/drawingml/2006/main">
          <a:off x="29794200" y="5486400"/>
          <a:ext cx="914400" cy="9144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60000"/>
            <a:lumOff val="4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0.94458</cdr:x>
      <cdr:y>0.50809</cdr:y>
    </cdr:from>
    <cdr:to>
      <cdr:x>0.97349</cdr:x>
      <cdr:y>0.54693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A60A87D1-7421-634F-354A-C9A0370F7ACA}"/>
            </a:ext>
          </a:extLst>
        </cdr:cNvPr>
        <cdr:cNvSpPr/>
      </cdr:nvSpPr>
      <cdr:spPr>
        <a:xfrm xmlns:a="http://schemas.openxmlformats.org/drawingml/2006/main">
          <a:off x="29870400" y="11963400"/>
          <a:ext cx="914400" cy="9144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50000"/>
          </a:schemeClr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0.75663</cdr:x>
      <cdr:y>0.24595</cdr:y>
    </cdr:from>
    <cdr:to>
      <cdr:x>0.9253</cdr:x>
      <cdr:y>0.31068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89FFF66C-1941-3323-864D-9DC5B5E2B51D}"/>
            </a:ext>
          </a:extLst>
        </cdr:cNvPr>
        <cdr:cNvSpPr txBox="1"/>
      </cdr:nvSpPr>
      <cdr:spPr>
        <a:xfrm xmlns:a="http://schemas.openxmlformats.org/drawingml/2006/main">
          <a:off x="23926800" y="5791200"/>
          <a:ext cx="5334000" cy="152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0.73012</cdr:x>
      <cdr:y>0.24595</cdr:y>
    </cdr:from>
    <cdr:to>
      <cdr:x>0.92771</cdr:x>
      <cdr:y>0.29126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6F9506EA-C902-FDD0-5795-F136BEA15959}"/>
            </a:ext>
          </a:extLst>
        </cdr:cNvPr>
        <cdr:cNvSpPr txBox="1"/>
      </cdr:nvSpPr>
      <cdr:spPr>
        <a:xfrm xmlns:a="http://schemas.openxmlformats.org/drawingml/2006/main">
          <a:off x="23088600" y="5791200"/>
          <a:ext cx="6248400" cy="1066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0.7012</cdr:x>
      <cdr:y>0.22654</cdr:y>
    </cdr:from>
    <cdr:to>
      <cdr:x>0.9494</cdr:x>
      <cdr:y>0.29773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CE7002C4-A226-8DDF-3713-C0298FA7E9B8}"/>
            </a:ext>
          </a:extLst>
        </cdr:cNvPr>
        <cdr:cNvSpPr txBox="1"/>
      </cdr:nvSpPr>
      <cdr:spPr>
        <a:xfrm xmlns:a="http://schemas.openxmlformats.org/drawingml/2006/main">
          <a:off x="22174200" y="5334000"/>
          <a:ext cx="7848600" cy="1676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F</a:t>
          </a:r>
        </a:p>
      </cdr:txBody>
    </cdr:sp>
  </cdr:relSizeAnchor>
  <cdr:relSizeAnchor xmlns:cdr="http://schemas.openxmlformats.org/drawingml/2006/chartDrawing">
    <cdr:from>
      <cdr:x>0.75663</cdr:x>
      <cdr:y>0.49191</cdr:y>
    </cdr:from>
    <cdr:to>
      <cdr:x>0.93735</cdr:x>
      <cdr:y>0.56958</cdr:y>
    </cdr:to>
    <cdr:sp macro="" textlink="">
      <cdr:nvSpPr>
        <cdr:cNvPr id="8" name="Rectangle: Rounded Corners 7">
          <a:extLst xmlns:a="http://schemas.openxmlformats.org/drawingml/2006/main">
            <a:ext uri="{FF2B5EF4-FFF2-40B4-BE49-F238E27FC236}">
              <a16:creationId xmlns:a16="http://schemas.microsoft.com/office/drawing/2014/main" id="{68A9FAB7-0480-5ED2-2EB3-BE6991FFD0BF}"/>
            </a:ext>
          </a:extLst>
        </cdr:cNvPr>
        <cdr:cNvSpPr/>
      </cdr:nvSpPr>
      <cdr:spPr>
        <a:xfrm xmlns:a="http://schemas.openxmlformats.org/drawingml/2006/main">
          <a:off x="23926800" y="11582400"/>
          <a:ext cx="5715000" cy="1828800"/>
        </a:xfrm>
        <a:prstGeom xmlns:a="http://schemas.openxmlformats.org/drawingml/2006/main" prst="round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1500" kern="1200"/>
            <a:t>MALE</a:t>
          </a:r>
        </a:p>
      </cdr:txBody>
    </cdr:sp>
  </cdr:relSizeAnchor>
  <cdr:relSizeAnchor xmlns:cdr="http://schemas.openxmlformats.org/drawingml/2006/chartDrawing">
    <cdr:from>
      <cdr:x>0.75422</cdr:x>
      <cdr:y>0.21683</cdr:y>
    </cdr:from>
    <cdr:to>
      <cdr:x>0.93494</cdr:x>
      <cdr:y>0.2945</cdr:y>
    </cdr:to>
    <cdr:sp macro="" textlink="">
      <cdr:nvSpPr>
        <cdr:cNvPr id="9" name="Rectangle: Rounded Corners 8">
          <a:extLst xmlns:a="http://schemas.openxmlformats.org/drawingml/2006/main">
            <a:ext uri="{FF2B5EF4-FFF2-40B4-BE49-F238E27FC236}">
              <a16:creationId xmlns:a16="http://schemas.microsoft.com/office/drawing/2014/main" id="{F9236EBB-50A9-2146-34BC-E9BE3A4C7650}"/>
            </a:ext>
          </a:extLst>
        </cdr:cNvPr>
        <cdr:cNvSpPr/>
      </cdr:nvSpPr>
      <cdr:spPr>
        <a:xfrm xmlns:a="http://schemas.openxmlformats.org/drawingml/2006/main">
          <a:off x="23850600" y="5105400"/>
          <a:ext cx="5715000" cy="1828800"/>
        </a:xfrm>
        <a:prstGeom xmlns:a="http://schemas.openxmlformats.org/drawingml/2006/main" prst="roundRect">
          <a:avLst/>
        </a:pr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1500" kern="1200"/>
            <a:t>FEMALE</a:t>
          </a:r>
        </a:p>
      </cdr:txBody>
    </cdr:sp>
  </cdr:relSizeAnchor>
  <cdr:relSizeAnchor xmlns:cdr="http://schemas.openxmlformats.org/drawingml/2006/chartDrawing">
    <cdr:from>
      <cdr:x>0.35663</cdr:x>
      <cdr:y>0.61489</cdr:y>
    </cdr:from>
    <cdr:to>
      <cdr:x>0.51325</cdr:x>
      <cdr:y>0.71197</cdr:y>
    </cdr:to>
    <cdr:sp macro="" textlink="">
      <cdr:nvSpPr>
        <cdr:cNvPr id="10" name="TextBox 9">
          <a:extLst xmlns:a="http://schemas.openxmlformats.org/drawingml/2006/main">
            <a:ext uri="{FF2B5EF4-FFF2-40B4-BE49-F238E27FC236}">
              <a16:creationId xmlns:a16="http://schemas.microsoft.com/office/drawing/2014/main" id="{47F4B785-DCE7-839A-E66A-5529684FEAB8}"/>
            </a:ext>
          </a:extLst>
        </cdr:cNvPr>
        <cdr:cNvSpPr txBox="1"/>
      </cdr:nvSpPr>
      <cdr:spPr>
        <a:xfrm xmlns:a="http://schemas.openxmlformats.org/drawingml/2006/main">
          <a:off x="11277600" y="14478000"/>
          <a:ext cx="4953000" cy="2286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0.36145</cdr:x>
      <cdr:y>0.6246</cdr:y>
    </cdr:from>
    <cdr:to>
      <cdr:x>0.45783</cdr:x>
      <cdr:y>0.68608</cdr:y>
    </cdr:to>
    <cdr:sp macro="" textlink="">
      <cdr:nvSpPr>
        <cdr:cNvPr id="11" name="Rectangle 10">
          <a:extLst xmlns:a="http://schemas.openxmlformats.org/drawingml/2006/main">
            <a:ext uri="{FF2B5EF4-FFF2-40B4-BE49-F238E27FC236}">
              <a16:creationId xmlns:a16="http://schemas.microsoft.com/office/drawing/2014/main" id="{C51B43A2-362A-B10E-A1FD-25301BB93ABB}"/>
            </a:ext>
          </a:extLst>
        </cdr:cNvPr>
        <cdr:cNvSpPr/>
      </cdr:nvSpPr>
      <cdr:spPr>
        <a:xfrm xmlns:a="http://schemas.openxmlformats.org/drawingml/2006/main">
          <a:off x="11430000" y="14706600"/>
          <a:ext cx="3048000" cy="1447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0.47952</cdr:x>
      <cdr:y>0.39482</cdr:y>
    </cdr:from>
    <cdr:to>
      <cdr:x>0.64337</cdr:x>
      <cdr:y>0.48867</cdr:y>
    </cdr:to>
    <cdr:sp macro="" textlink="">
      <cdr:nvSpPr>
        <cdr:cNvPr id="12" name="Rectangle 11">
          <a:extLst xmlns:a="http://schemas.openxmlformats.org/drawingml/2006/main">
            <a:ext uri="{FF2B5EF4-FFF2-40B4-BE49-F238E27FC236}">
              <a16:creationId xmlns:a16="http://schemas.microsoft.com/office/drawing/2014/main" id="{D9DAFE4A-6BC5-996F-42BA-A9997F41C46E}"/>
            </a:ext>
          </a:extLst>
        </cdr:cNvPr>
        <cdr:cNvSpPr/>
      </cdr:nvSpPr>
      <cdr:spPr>
        <a:xfrm xmlns:a="http://schemas.openxmlformats.org/drawingml/2006/main">
          <a:off x="15163800" y="9296400"/>
          <a:ext cx="5181600" cy="2209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3800" kern="1200"/>
            <a:t>615%</a:t>
          </a:r>
        </a:p>
      </cdr:txBody>
    </cdr:sp>
  </cdr:relSizeAnchor>
  <cdr:relSizeAnchor xmlns:cdr="http://schemas.openxmlformats.org/drawingml/2006/chartDrawing">
    <cdr:from>
      <cdr:x>0.34217</cdr:x>
      <cdr:y>0.65696</cdr:y>
    </cdr:from>
    <cdr:to>
      <cdr:x>0.57465</cdr:x>
      <cdr:y>0.75405</cdr:y>
    </cdr:to>
    <cdr:sp macro="" textlink="">
      <cdr:nvSpPr>
        <cdr:cNvPr id="13" name="Rectangle 12">
          <a:extLst xmlns:a="http://schemas.openxmlformats.org/drawingml/2006/main">
            <a:ext uri="{FF2B5EF4-FFF2-40B4-BE49-F238E27FC236}">
              <a16:creationId xmlns:a16="http://schemas.microsoft.com/office/drawing/2014/main" id="{44B91B11-1255-5063-ED01-C95455626F27}"/>
            </a:ext>
          </a:extLst>
        </cdr:cNvPr>
        <cdr:cNvSpPr/>
      </cdr:nvSpPr>
      <cdr:spPr>
        <a:xfrm xmlns:a="http://schemas.openxmlformats.org/drawingml/2006/main">
          <a:off x="9256004" y="18071730"/>
          <a:ext cx="6288795" cy="26706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3800" kern="1200"/>
            <a:t>989%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0.14238</cdr:x>
      <cdr:y>0.00873</cdr:y>
    </cdr:from>
    <cdr:to>
      <cdr:x>0.83752</cdr:x>
      <cdr:y>0.11344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CAFDDF85-412E-0927-D180-1F230EBD3206}"/>
            </a:ext>
          </a:extLst>
        </cdr:cNvPr>
        <cdr:cNvSpPr/>
      </cdr:nvSpPr>
      <cdr:spPr>
        <a:xfrm xmlns:a="http://schemas.openxmlformats.org/drawingml/2006/main">
          <a:off x="6477066" y="365209"/>
          <a:ext cx="31622891" cy="4380417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l"/>
          <a:r>
            <a:rPr lang="en-US" sz="13800" kern="1200"/>
            <a:t>TOTAL</a:t>
          </a:r>
          <a:r>
            <a:rPr lang="en-US" sz="13800" kern="1200" baseline="0"/>
            <a:t> GENDER ( YEARS - UNPAID LEAVES)</a:t>
          </a:r>
          <a:endParaRPr lang="en-US" sz="13800" kern="12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0.04986</cdr:x>
      <cdr:y>0.05995</cdr:y>
    </cdr:from>
    <cdr:to>
      <cdr:x>0.77008</cdr:x>
      <cdr:y>0.20951</cdr:y>
    </cdr:to>
    <cdr:sp macro="" textlink="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1405CFF0-E471-8F08-B2A4-C646B6AF55A1}"/>
            </a:ext>
          </a:extLst>
        </cdr:cNvPr>
        <cdr:cNvSpPr/>
      </cdr:nvSpPr>
      <cdr:spPr>
        <a:xfrm xmlns:a="http://schemas.openxmlformats.org/drawingml/2006/main">
          <a:off x="1371600" y="1710690"/>
          <a:ext cx="19812000" cy="426720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en-US" sz="13800" b="0" kern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center</a:t>
          </a:r>
          <a:r>
            <a:rPr lang="en-US" sz="13800" b="0" kern="1200" baseline="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 - department</a:t>
          </a:r>
          <a:endParaRPr lang="en-US" sz="13800" b="0" kern="1200">
            <a:latin typeface="ADLaM Display" panose="02010000000000000000" pitchFamily="2" charset="0"/>
            <a:ea typeface="ADLaM Display" panose="02010000000000000000" pitchFamily="2" charset="0"/>
            <a:cs typeface="ADLaM Display" panose="02010000000000000000" pitchFamily="2" charset="0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32</xdr:row>
      <xdr:rowOff>0</xdr:rowOff>
    </xdr:from>
    <xdr:to>
      <xdr:col>100</xdr:col>
      <xdr:colOff>419100</xdr:colOff>
      <xdr:row>170</xdr:row>
      <xdr:rowOff>91440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434BB6C3-456E-4C3E-B496-DA6A7FF03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79.034428356485" createdVersion="8" refreshedVersion="8" minRefreshableVersion="3" recordCount="21" xr:uid="{82A4DE25-1A3B-4957-A759-FD58594E8C68}">
  <cacheSource type="worksheet">
    <worksheetSource name="Table6"/>
  </cacheSource>
  <cacheFields count="15">
    <cacheField name="ID" numFmtId="0">
      <sharedItems containsString="0" containsBlank="1" containsNumber="1" containsInteger="1" minValue="280" maxValue="298" count="20"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m/>
      </sharedItems>
    </cacheField>
    <cacheField name="First Name" numFmtId="0">
      <sharedItems containsBlank="1" count="16">
        <s v="Ghadir"/>
        <s v="Omar"/>
        <s v="Ailya"/>
        <s v="Lwiy"/>
        <s v="Ahmad"/>
        <s v="Muhamad"/>
        <s v="Iin"/>
        <s v="Susin"/>
        <s v="Razaan"/>
        <s v="Iilian"/>
        <s v="Bayan"/>
        <s v="Alaa"/>
        <s v="Sandra"/>
        <s v="Farahad"/>
        <s v="Ahed"/>
        <m/>
      </sharedItems>
    </cacheField>
    <cacheField name="Last Name" numFmtId="0">
      <sharedItems containsBlank="1" count="20">
        <s v="Hmshw"/>
        <s v="Hishan"/>
        <s v="Sharaf"/>
        <s v="Qbany"/>
        <s v="Bikri"/>
        <s v="Zueitr"/>
        <s v="Alhalaliu"/>
        <s v="Alaya"/>
        <s v="Almilat"/>
        <s v="Alrifaei"/>
        <s v="Alqadah"/>
        <s v="Iad"/>
        <s v="Nasif"/>
        <s v="Dbs"/>
        <s v="Qdw"/>
        <s v="Muhamad"/>
        <s v="Aljurmqaniu"/>
        <s v="Husayn"/>
        <s v="Salim"/>
        <m/>
      </sharedItems>
    </cacheField>
    <cacheField name="Gender" numFmtId="0">
      <sharedItems containsBlank="1" count="3">
        <s v="Male"/>
        <s v="Female"/>
        <m/>
      </sharedItems>
    </cacheField>
    <cacheField name="Start Date" numFmtId="0">
      <sharedItems containsNonDate="0" containsDate="1" containsString="0" containsBlank="1" minDate="2016-02-02T00:00:00" maxDate="2020-05-22T00:00:00"/>
    </cacheField>
    <cacheField name="Years" numFmtId="0">
      <sharedItems containsString="0" containsBlank="1" containsNumber="1" containsInteger="1" minValue="5" maxValue="10" count="7">
        <n v="7"/>
        <n v="5"/>
        <n v="8"/>
        <n v="10"/>
        <n v="6"/>
        <n v="9"/>
        <m/>
      </sharedItems>
    </cacheField>
    <cacheField name="Department" numFmtId="0">
      <sharedItems containsBlank="1" count="11">
        <s v="Quality Control"/>
        <s v="Major Mfg Projects"/>
        <s v="Manufacturing"/>
        <s v="Product Development"/>
        <s v="Sales"/>
        <s v="Account Management"/>
        <s v="Green Building"/>
        <s v="IT"/>
        <s v="Facilities/Engineering"/>
        <s v="Marketing"/>
        <m/>
      </sharedItems>
    </cacheField>
    <cacheField name="Country" numFmtId="0">
      <sharedItems containsBlank="1" count="5">
        <s v="Egypt"/>
        <s v="Saudi Arabia"/>
        <s v="United Arab Emirates"/>
        <s v="Syria"/>
        <m/>
      </sharedItems>
    </cacheField>
    <cacheField name="Center" numFmtId="0">
      <sharedItems containsBlank="1" count="5">
        <s v="West"/>
        <s v="Main"/>
        <s v="North"/>
        <s v="South"/>
        <m/>
      </sharedItems>
    </cacheField>
    <cacheField name="Monthly Salary" numFmtId="0">
      <sharedItems containsString="0" containsBlank="1" containsNumber="1" containsInteger="1" minValue="889" maxValue="3404" count="20">
        <n v="1560"/>
        <n v="3247"/>
        <n v="2506"/>
        <n v="1828"/>
        <n v="970"/>
        <n v="2332"/>
        <n v="1959"/>
        <n v="3394"/>
        <n v="1479"/>
        <n v="1186"/>
        <n v="1485"/>
        <n v="2016"/>
        <n v="1999"/>
        <n v="3404"/>
        <n v="889"/>
        <n v="930"/>
        <n v="3149"/>
        <n v="1295"/>
        <n v="2162"/>
        <m/>
      </sharedItems>
    </cacheField>
    <cacheField name="Annual Salary" numFmtId="0">
      <sharedItems containsString="0" containsBlank="1" containsNumber="1" containsInteger="1" minValue="10668" maxValue="40848"/>
    </cacheField>
    <cacheField name="Job Rate" numFmtId="0">
      <sharedItems containsString="0" containsBlank="1" containsNumber="1" minValue="1" maxValue="5" count="6">
        <n v="3"/>
        <n v="1"/>
        <n v="2"/>
        <n v="5"/>
        <n v="4.5"/>
        <m/>
      </sharedItems>
    </cacheField>
    <cacheField name="Sick Leaves" numFmtId="0">
      <sharedItems containsString="0" containsBlank="1" containsNumber="1" containsInteger="1" minValue="0" maxValue="6" count="8">
        <n v="1"/>
        <n v="0"/>
        <n v="3"/>
        <n v="6"/>
        <n v="5"/>
        <n v="2"/>
        <n v="4"/>
        <m/>
      </sharedItems>
    </cacheField>
    <cacheField name="Unpaid Leaves" numFmtId="0">
      <sharedItems containsString="0" containsBlank="1" containsNumber="1" containsInteger="1" minValue="0" maxValue="5"/>
    </cacheField>
    <cacheField name="Overtime Hours" numFmtId="0">
      <sharedItems containsString="0" containsBlank="1" containsNumber="1" containsInteger="1" minValue="7" maxValue="198" count="15">
        <n v="183"/>
        <n v="198"/>
        <n v="192"/>
        <n v="7"/>
        <n v="121"/>
        <n v="8"/>
        <n v="116"/>
        <n v="105"/>
        <n v="153"/>
        <n v="12"/>
        <n v="70"/>
        <n v="85"/>
        <n v="77"/>
        <n v="93"/>
        <m/>
      </sharedItems>
    </cacheField>
  </cacheFields>
  <extLst>
    <ext xmlns:x14="http://schemas.microsoft.com/office/spreadsheetml/2009/9/main" uri="{725AE2AE-9491-48be-B2B4-4EB974FC3084}">
      <x14:pivotCacheDefinition pivotCacheId="179913910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79.035152546297" createdVersion="8" refreshedVersion="8" minRefreshableVersion="3" recordCount="689" xr:uid="{C541E02A-16AB-47AF-A8A5-5C72BF50FD65}">
  <cacheSource type="worksheet">
    <worksheetSource name="EmpTable"/>
  </cacheSource>
  <cacheFields count="15">
    <cacheField name="ID" numFmtId="0">
      <sharedItems containsSemiMixedTypes="0" containsString="0" containsNumber="1" containsInteger="1" minValue="1" maxValue="689" count="6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</sharedItems>
    </cacheField>
    <cacheField name="First Name" numFmtId="0">
      <sharedItems/>
    </cacheField>
    <cacheField name="Last Name" numFmtId="0">
      <sharedItems/>
    </cacheField>
    <cacheField name="Gender" numFmtId="0">
      <sharedItems count="2">
        <s v="Male"/>
        <s v="Female"/>
      </sharedItems>
    </cacheField>
    <cacheField name="Start Date" numFmtId="14">
      <sharedItems containsSemiMixedTypes="0" containsNonDate="0" containsDate="1" containsString="0" minDate="2016-01-08T00:00:00" maxDate="2020-12-30T00:00:00"/>
    </cacheField>
    <cacheField name="Years" numFmtId="1">
      <sharedItems containsSemiMixedTypes="0" containsString="0" containsNumber="1" containsInteger="1" minValue="5" maxValue="10" count="6">
        <n v="7"/>
        <n v="5"/>
        <n v="8"/>
        <n v="10"/>
        <n v="6"/>
        <n v="9"/>
      </sharedItems>
    </cacheField>
    <cacheField name="Department" numFmtId="0">
      <sharedItems/>
    </cacheField>
    <cacheField name="Country" numFmtId="0">
      <sharedItems count="5">
        <s v="Egypt"/>
        <s v="Saudi Arabia"/>
        <s v="United Arab Emirates"/>
        <s v="Syria"/>
        <s v="Lebanon"/>
      </sharedItems>
    </cacheField>
    <cacheField name="Center" numFmtId="0">
      <sharedItems/>
    </cacheField>
    <cacheField name="Monthly Salary" numFmtId="0">
      <sharedItems containsSemiMixedTypes="0" containsString="0" containsNumber="1" containsInteger="1" minValue="703" maxValue="3450"/>
    </cacheField>
    <cacheField name="Annual Salary" numFmtId="0">
      <sharedItems containsSemiMixedTypes="0" containsString="0" containsNumber="1" containsInteger="1" minValue="8436" maxValue="41400"/>
    </cacheField>
    <cacheField name="Job Rate" numFmtId="0">
      <sharedItems containsSemiMixedTypes="0" containsString="0" containsNumber="1" minValue="1" maxValue="5"/>
    </cacheField>
    <cacheField name="Sick Leaves" numFmtId="0">
      <sharedItems containsSemiMixedTypes="0" containsString="0" containsNumber="1" containsInteger="1" minValue="0" maxValue="6"/>
    </cacheField>
    <cacheField name="Unpaid Leaves" numFmtId="0">
      <sharedItems containsSemiMixedTypes="0" containsString="0" containsNumber="1" containsInteger="1" minValue="0" maxValue="6"/>
    </cacheField>
    <cacheField name="Overtime Hours" numFmtId="0">
      <sharedItems containsSemiMixedTypes="0" containsString="0" containsNumber="1" containsInteger="1" minValue="0" maxValue="1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d v="2018-04-04T00:00:00"/>
    <x v="0"/>
    <x v="0"/>
    <x v="0"/>
    <x v="0"/>
    <x v="0"/>
    <n v="18720"/>
    <x v="0"/>
    <x v="0"/>
    <n v="0"/>
    <x v="0"/>
  </r>
  <r>
    <x v="1"/>
    <x v="1"/>
    <x v="1"/>
    <x v="0"/>
    <d v="2020-05-21T00:00:00"/>
    <x v="1"/>
    <x v="0"/>
    <x v="1"/>
    <x v="0"/>
    <x v="1"/>
    <n v="38964"/>
    <x v="1"/>
    <x v="1"/>
    <n v="5"/>
    <x v="1"/>
  </r>
  <r>
    <x v="2"/>
    <x v="2"/>
    <x v="2"/>
    <x v="1"/>
    <d v="2017-09-28T00:00:00"/>
    <x v="2"/>
    <x v="1"/>
    <x v="1"/>
    <x v="0"/>
    <x v="2"/>
    <n v="30072"/>
    <x v="2"/>
    <x v="1"/>
    <n v="3"/>
    <x v="2"/>
  </r>
  <r>
    <x v="3"/>
    <x v="3"/>
    <x v="3"/>
    <x v="0"/>
    <d v="2018-08-14T00:00:00"/>
    <x v="0"/>
    <x v="2"/>
    <x v="2"/>
    <x v="1"/>
    <x v="3"/>
    <n v="21936"/>
    <x v="0"/>
    <x v="1"/>
    <n v="0"/>
    <x v="3"/>
  </r>
  <r>
    <x v="4"/>
    <x v="4"/>
    <x v="4"/>
    <x v="0"/>
    <d v="2020-03-11T00:00:00"/>
    <x v="1"/>
    <x v="2"/>
    <x v="0"/>
    <x v="1"/>
    <x v="4"/>
    <n v="11640"/>
    <x v="3"/>
    <x v="1"/>
    <n v="5"/>
    <x v="4"/>
  </r>
  <r>
    <x v="5"/>
    <x v="5"/>
    <x v="5"/>
    <x v="0"/>
    <d v="2016-02-02T00:00:00"/>
    <x v="3"/>
    <x v="3"/>
    <x v="1"/>
    <x v="2"/>
    <x v="5"/>
    <n v="27984"/>
    <x v="0"/>
    <x v="2"/>
    <n v="0"/>
    <x v="5"/>
  </r>
  <r>
    <x v="6"/>
    <x v="6"/>
    <x v="6"/>
    <x v="1"/>
    <d v="2020-05-08T00:00:00"/>
    <x v="1"/>
    <x v="4"/>
    <x v="2"/>
    <x v="1"/>
    <x v="6"/>
    <n v="23508"/>
    <x v="0"/>
    <x v="3"/>
    <n v="0"/>
    <x v="6"/>
  </r>
  <r>
    <x v="7"/>
    <x v="5"/>
    <x v="7"/>
    <x v="0"/>
    <d v="2018-02-10T00:00:00"/>
    <x v="2"/>
    <x v="5"/>
    <x v="0"/>
    <x v="1"/>
    <x v="7"/>
    <n v="40728"/>
    <x v="3"/>
    <x v="1"/>
    <n v="0"/>
    <x v="3"/>
  </r>
  <r>
    <x v="8"/>
    <x v="7"/>
    <x v="8"/>
    <x v="1"/>
    <d v="2018-03-11T00:00:00"/>
    <x v="0"/>
    <x v="6"/>
    <x v="0"/>
    <x v="2"/>
    <x v="8"/>
    <n v="17748"/>
    <x v="4"/>
    <x v="1"/>
    <n v="0"/>
    <x v="7"/>
  </r>
  <r>
    <x v="9"/>
    <x v="5"/>
    <x v="9"/>
    <x v="0"/>
    <d v="2020-01-03T00:00:00"/>
    <x v="4"/>
    <x v="5"/>
    <x v="0"/>
    <x v="1"/>
    <x v="9"/>
    <n v="14232"/>
    <x v="4"/>
    <x v="0"/>
    <n v="0"/>
    <x v="8"/>
  </r>
  <r>
    <x v="10"/>
    <x v="5"/>
    <x v="10"/>
    <x v="0"/>
    <d v="2018-01-16T00:00:00"/>
    <x v="2"/>
    <x v="2"/>
    <x v="3"/>
    <x v="1"/>
    <x v="10"/>
    <n v="17820"/>
    <x v="2"/>
    <x v="4"/>
    <n v="0"/>
    <x v="9"/>
  </r>
  <r>
    <x v="11"/>
    <x v="5"/>
    <x v="11"/>
    <x v="0"/>
    <d v="2018-07-19T00:00:00"/>
    <x v="0"/>
    <x v="7"/>
    <x v="0"/>
    <x v="1"/>
    <x v="11"/>
    <n v="24192"/>
    <x v="1"/>
    <x v="5"/>
    <n v="0"/>
    <x v="10"/>
  </r>
  <r>
    <x v="12"/>
    <x v="8"/>
    <x v="12"/>
    <x v="1"/>
    <d v="2018-11-11T00:00:00"/>
    <x v="0"/>
    <x v="8"/>
    <x v="0"/>
    <x v="1"/>
    <x v="12"/>
    <n v="23988"/>
    <x v="3"/>
    <x v="3"/>
    <n v="0"/>
    <x v="11"/>
  </r>
  <r>
    <x v="13"/>
    <x v="9"/>
    <x v="13"/>
    <x v="1"/>
    <d v="2016-03-01T00:00:00"/>
    <x v="5"/>
    <x v="8"/>
    <x v="2"/>
    <x v="2"/>
    <x v="13"/>
    <n v="40848"/>
    <x v="3"/>
    <x v="0"/>
    <n v="0"/>
    <x v="5"/>
  </r>
  <r>
    <x v="14"/>
    <x v="10"/>
    <x v="14"/>
    <x v="1"/>
    <d v="2018-12-04T00:00:00"/>
    <x v="0"/>
    <x v="9"/>
    <x v="0"/>
    <x v="1"/>
    <x v="14"/>
    <n v="10668"/>
    <x v="0"/>
    <x v="0"/>
    <n v="1"/>
    <x v="5"/>
  </r>
  <r>
    <x v="15"/>
    <x v="11"/>
    <x v="15"/>
    <x v="0"/>
    <d v="2019-10-07T00:00:00"/>
    <x v="4"/>
    <x v="4"/>
    <x v="0"/>
    <x v="3"/>
    <x v="15"/>
    <n v="11160"/>
    <x v="0"/>
    <x v="1"/>
    <n v="0"/>
    <x v="12"/>
  </r>
  <r>
    <x v="16"/>
    <x v="12"/>
    <x v="16"/>
    <x v="1"/>
    <d v="2016-05-27T00:00:00"/>
    <x v="5"/>
    <x v="5"/>
    <x v="1"/>
    <x v="0"/>
    <x v="16"/>
    <n v="37788"/>
    <x v="4"/>
    <x v="1"/>
    <n v="0"/>
    <x v="13"/>
  </r>
  <r>
    <x v="17"/>
    <x v="13"/>
    <x v="17"/>
    <x v="0"/>
    <d v="2018-05-12T00:00:00"/>
    <x v="0"/>
    <x v="0"/>
    <x v="2"/>
    <x v="0"/>
    <x v="17"/>
    <n v="15540"/>
    <x v="0"/>
    <x v="6"/>
    <n v="0"/>
    <x v="8"/>
  </r>
  <r>
    <x v="18"/>
    <x v="14"/>
    <x v="18"/>
    <x v="1"/>
    <d v="2018-04-24T00:00:00"/>
    <x v="0"/>
    <x v="0"/>
    <x v="2"/>
    <x v="3"/>
    <x v="18"/>
    <n v="25944"/>
    <x v="0"/>
    <x v="1"/>
    <n v="0"/>
    <x v="5"/>
  </r>
  <r>
    <x v="19"/>
    <x v="15"/>
    <x v="19"/>
    <x v="2"/>
    <m/>
    <x v="6"/>
    <x v="10"/>
    <x v="4"/>
    <x v="4"/>
    <x v="19"/>
    <m/>
    <x v="5"/>
    <x v="7"/>
    <m/>
    <x v="14"/>
  </r>
  <r>
    <x v="19"/>
    <x v="15"/>
    <x v="19"/>
    <x v="2"/>
    <m/>
    <x v="6"/>
    <x v="10"/>
    <x v="4"/>
    <x v="4"/>
    <x v="19"/>
    <m/>
    <x v="5"/>
    <x v="7"/>
    <m/>
    <x v="1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9">
  <r>
    <x v="0"/>
    <s v="Ghadir"/>
    <s v="Hmshw"/>
    <x v="0"/>
    <d v="2018-04-04T00:00:00"/>
    <x v="0"/>
    <s v="Quality Control"/>
    <x v="0"/>
    <s v="West"/>
    <n v="1560"/>
    <n v="18720"/>
    <n v="3"/>
    <n v="1"/>
    <n v="0"/>
    <n v="183"/>
  </r>
  <r>
    <x v="1"/>
    <s v="Omar"/>
    <s v="Hishan"/>
    <x v="0"/>
    <d v="2020-05-21T00:00:00"/>
    <x v="1"/>
    <s v="Quality Control"/>
    <x v="1"/>
    <s v="West"/>
    <n v="3247"/>
    <n v="38964"/>
    <n v="1"/>
    <n v="0"/>
    <n v="5"/>
    <n v="198"/>
  </r>
  <r>
    <x v="2"/>
    <s v="Ailya"/>
    <s v="Sharaf"/>
    <x v="1"/>
    <d v="2017-09-28T00:00:00"/>
    <x v="2"/>
    <s v="Major Mfg Projects"/>
    <x v="1"/>
    <s v="West"/>
    <n v="2506"/>
    <n v="30072"/>
    <n v="2"/>
    <n v="0"/>
    <n v="3"/>
    <n v="192"/>
  </r>
  <r>
    <x v="3"/>
    <s v="Lwiy"/>
    <s v="Qbany"/>
    <x v="0"/>
    <d v="2018-08-14T00:00:00"/>
    <x v="0"/>
    <s v="Manufacturing"/>
    <x v="2"/>
    <s v="Main"/>
    <n v="1828"/>
    <n v="21936"/>
    <n v="3"/>
    <n v="0"/>
    <n v="0"/>
    <n v="7"/>
  </r>
  <r>
    <x v="4"/>
    <s v="Ahmad"/>
    <s v="Bikri"/>
    <x v="0"/>
    <d v="2020-03-11T00:00:00"/>
    <x v="1"/>
    <s v="Manufacturing"/>
    <x v="0"/>
    <s v="Main"/>
    <n v="970"/>
    <n v="11640"/>
    <n v="5"/>
    <n v="0"/>
    <n v="5"/>
    <n v="121"/>
  </r>
  <r>
    <x v="5"/>
    <s v="Muhamad"/>
    <s v="Zueitr"/>
    <x v="0"/>
    <d v="2016-02-02T00:00:00"/>
    <x v="3"/>
    <s v="Product Development"/>
    <x v="1"/>
    <s v="North"/>
    <n v="2332"/>
    <n v="27984"/>
    <n v="3"/>
    <n v="3"/>
    <n v="0"/>
    <n v="8"/>
  </r>
  <r>
    <x v="6"/>
    <s v="Iin"/>
    <s v="Alhalaliu"/>
    <x v="1"/>
    <d v="2020-05-08T00:00:00"/>
    <x v="1"/>
    <s v="Sales"/>
    <x v="2"/>
    <s v="Main"/>
    <n v="1959"/>
    <n v="23508"/>
    <n v="3"/>
    <n v="6"/>
    <n v="0"/>
    <n v="116"/>
  </r>
  <r>
    <x v="7"/>
    <s v="Muhamad"/>
    <s v="Alaya"/>
    <x v="0"/>
    <d v="2018-02-10T00:00:00"/>
    <x v="2"/>
    <s v="Account Management"/>
    <x v="0"/>
    <s v="Main"/>
    <n v="3394"/>
    <n v="40728"/>
    <n v="5"/>
    <n v="0"/>
    <n v="0"/>
    <n v="7"/>
  </r>
  <r>
    <x v="8"/>
    <s v="Susin"/>
    <s v="Almilat"/>
    <x v="1"/>
    <d v="2018-03-11T00:00:00"/>
    <x v="0"/>
    <s v="Green Building"/>
    <x v="0"/>
    <s v="North"/>
    <n v="1479"/>
    <n v="17748"/>
    <n v="4.5"/>
    <n v="0"/>
    <n v="0"/>
    <n v="105"/>
  </r>
  <r>
    <x v="9"/>
    <s v="Muhamad"/>
    <s v="Alrifaei"/>
    <x v="0"/>
    <d v="2020-01-03T00:00:00"/>
    <x v="4"/>
    <s v="Account Management"/>
    <x v="0"/>
    <s v="Main"/>
    <n v="1186"/>
    <n v="14232"/>
    <n v="4.5"/>
    <n v="1"/>
    <n v="0"/>
    <n v="153"/>
  </r>
  <r>
    <x v="10"/>
    <s v="Muhamad"/>
    <s v="Alqadah"/>
    <x v="0"/>
    <d v="2018-01-16T00:00:00"/>
    <x v="2"/>
    <s v="Manufacturing"/>
    <x v="3"/>
    <s v="Main"/>
    <n v="1485"/>
    <n v="17820"/>
    <n v="2"/>
    <n v="5"/>
    <n v="0"/>
    <n v="12"/>
  </r>
  <r>
    <x v="11"/>
    <s v="Muhamad"/>
    <s v="Iad"/>
    <x v="0"/>
    <d v="2018-07-19T00:00:00"/>
    <x v="0"/>
    <s v="IT"/>
    <x v="0"/>
    <s v="Main"/>
    <n v="2016"/>
    <n v="24192"/>
    <n v="1"/>
    <n v="2"/>
    <n v="0"/>
    <n v="70"/>
  </r>
  <r>
    <x v="12"/>
    <s v="Razaan"/>
    <s v="Nasif"/>
    <x v="1"/>
    <d v="2018-11-11T00:00:00"/>
    <x v="0"/>
    <s v="Facilities/Engineering"/>
    <x v="0"/>
    <s v="Main"/>
    <n v="1999"/>
    <n v="23988"/>
    <n v="5"/>
    <n v="6"/>
    <n v="0"/>
    <n v="85"/>
  </r>
  <r>
    <x v="13"/>
    <s v="Iilian"/>
    <s v="Dbs"/>
    <x v="1"/>
    <d v="2016-03-01T00:00:00"/>
    <x v="5"/>
    <s v="Facilities/Engineering"/>
    <x v="2"/>
    <s v="North"/>
    <n v="3404"/>
    <n v="40848"/>
    <n v="5"/>
    <n v="1"/>
    <n v="0"/>
    <n v="8"/>
  </r>
  <r>
    <x v="14"/>
    <s v="Bayan"/>
    <s v="Qdw"/>
    <x v="1"/>
    <d v="2018-12-04T00:00:00"/>
    <x v="0"/>
    <s v="Marketing"/>
    <x v="0"/>
    <s v="Main"/>
    <n v="889"/>
    <n v="10668"/>
    <n v="3"/>
    <n v="1"/>
    <n v="1"/>
    <n v="8"/>
  </r>
  <r>
    <x v="15"/>
    <s v="Alaa"/>
    <s v="Muhamad"/>
    <x v="0"/>
    <d v="2019-10-07T00:00:00"/>
    <x v="4"/>
    <s v="Sales"/>
    <x v="0"/>
    <s v="South"/>
    <n v="930"/>
    <n v="11160"/>
    <n v="3"/>
    <n v="0"/>
    <n v="0"/>
    <n v="77"/>
  </r>
  <r>
    <x v="16"/>
    <s v="Sandra"/>
    <s v="Aljurmqaniu"/>
    <x v="1"/>
    <d v="2016-05-27T00:00:00"/>
    <x v="5"/>
    <s v="Account Management"/>
    <x v="1"/>
    <s v="West"/>
    <n v="3149"/>
    <n v="37788"/>
    <n v="4.5"/>
    <n v="0"/>
    <n v="0"/>
    <n v="93"/>
  </r>
  <r>
    <x v="17"/>
    <s v="Farahad"/>
    <s v="Husayn"/>
    <x v="0"/>
    <d v="2018-05-12T00:00:00"/>
    <x v="0"/>
    <s v="Quality Control"/>
    <x v="2"/>
    <s v="West"/>
    <n v="1295"/>
    <n v="15540"/>
    <n v="3"/>
    <n v="4"/>
    <n v="0"/>
    <n v="153"/>
  </r>
  <r>
    <x v="18"/>
    <s v="Ahed"/>
    <s v="Salim"/>
    <x v="1"/>
    <d v="2018-04-24T00:00:00"/>
    <x v="0"/>
    <s v="Quality Control"/>
    <x v="2"/>
    <s v="South"/>
    <n v="2162"/>
    <n v="25944"/>
    <n v="3"/>
    <n v="0"/>
    <n v="0"/>
    <n v="8"/>
  </r>
  <r>
    <x v="19"/>
    <s v="Ayham"/>
    <s v="Tutwnji"/>
    <x v="0"/>
    <d v="2019-10-02T00:00:00"/>
    <x v="4"/>
    <s v="Product Development"/>
    <x v="2"/>
    <s v="West"/>
    <n v="2180"/>
    <n v="26160"/>
    <n v="2"/>
    <n v="6"/>
    <n v="0"/>
    <n v="10"/>
  </r>
  <r>
    <x v="20"/>
    <s v="Samir"/>
    <s v="Alsafdi"/>
    <x v="0"/>
    <d v="2020-12-03T00:00:00"/>
    <x v="1"/>
    <s v="Account Management"/>
    <x v="0"/>
    <s v="Main"/>
    <n v="1475"/>
    <n v="17700"/>
    <n v="5"/>
    <n v="0"/>
    <n v="0"/>
    <n v="98"/>
  </r>
  <r>
    <x v="21"/>
    <s v="Bilal"/>
    <s v="Jalal"/>
    <x v="0"/>
    <d v="2019-01-08T00:00:00"/>
    <x v="0"/>
    <s v="Manufacturing Admin"/>
    <x v="0"/>
    <s v="Main"/>
    <n v="1290"/>
    <n v="15480"/>
    <n v="3"/>
    <n v="4"/>
    <n v="0"/>
    <n v="109"/>
  </r>
  <r>
    <x v="22"/>
    <s v="Riad"/>
    <s v="Sahalul"/>
    <x v="0"/>
    <d v="2019-11-14T00:00:00"/>
    <x v="4"/>
    <s v="Training"/>
    <x v="1"/>
    <s v="Main"/>
    <n v="1764"/>
    <n v="21168"/>
    <n v="3"/>
    <n v="0"/>
    <n v="0"/>
    <n v="111"/>
  </r>
  <r>
    <x v="23"/>
    <s v="Ahmad"/>
    <s v="Ahmad"/>
    <x v="0"/>
    <d v="2019-10-17T00:00:00"/>
    <x v="4"/>
    <s v="Quality Assurance"/>
    <x v="1"/>
    <s v="West"/>
    <n v="2682"/>
    <n v="32184"/>
    <n v="4.5"/>
    <n v="1"/>
    <n v="0"/>
    <n v="32"/>
  </r>
  <r>
    <x v="24"/>
    <s v="Muhamad"/>
    <s v="Altarah"/>
    <x v="0"/>
    <d v="2020-12-13T00:00:00"/>
    <x v="1"/>
    <s v="IT"/>
    <x v="0"/>
    <s v="North"/>
    <n v="3044"/>
    <n v="36528"/>
    <n v="3"/>
    <n v="6"/>
    <n v="0"/>
    <n v="94"/>
  </r>
  <r>
    <x v="25"/>
    <s v="Lwna"/>
    <s v="Abu"/>
    <x v="1"/>
    <d v="2020-08-02T00:00:00"/>
    <x v="1"/>
    <s v="Product Development"/>
    <x v="0"/>
    <s v="Main"/>
    <n v="890"/>
    <n v="10680"/>
    <n v="4.5"/>
    <n v="0"/>
    <n v="0"/>
    <n v="13"/>
  </r>
  <r>
    <x v="26"/>
    <s v="Jalal"/>
    <s v="Almuluhi"/>
    <x v="0"/>
    <d v="2018-12-03T00:00:00"/>
    <x v="0"/>
    <s v="Quality Control"/>
    <x v="0"/>
    <s v="West"/>
    <n v="2207"/>
    <n v="26484"/>
    <n v="5"/>
    <n v="0"/>
    <n v="0"/>
    <n v="70"/>
  </r>
  <r>
    <x v="27"/>
    <s v="Rana"/>
    <s v="Mius"/>
    <x v="1"/>
    <d v="2019-03-06T00:00:00"/>
    <x v="4"/>
    <s v="Manufacturing"/>
    <x v="1"/>
    <s v="West"/>
    <n v="2136"/>
    <n v="25632"/>
    <n v="4.5"/>
    <n v="1"/>
    <n v="0"/>
    <n v="9"/>
  </r>
  <r>
    <x v="28"/>
    <s v="Lina"/>
    <s v="Aljabaan"/>
    <x v="1"/>
    <d v="2019-12-16T00:00:00"/>
    <x v="4"/>
    <s v="Quality Control"/>
    <x v="0"/>
    <s v="Main"/>
    <n v="1161"/>
    <n v="13932"/>
    <n v="5"/>
    <n v="0"/>
    <n v="1"/>
    <n v="97"/>
  </r>
  <r>
    <x v="29"/>
    <s v="Rami"/>
    <s v="Shanan"/>
    <x v="0"/>
    <d v="2019-08-13T00:00:00"/>
    <x v="4"/>
    <s v="Professional Training Group"/>
    <x v="2"/>
    <s v="West"/>
    <n v="830"/>
    <n v="9960"/>
    <n v="5"/>
    <n v="0"/>
    <n v="0"/>
    <n v="71"/>
  </r>
  <r>
    <x v="30"/>
    <s v="Eala"/>
    <s v="Alhaj"/>
    <x v="1"/>
    <d v="2020-06-09T00:00:00"/>
    <x v="1"/>
    <s v="Quality Assurance"/>
    <x v="1"/>
    <s v="West"/>
    <n v="2977"/>
    <n v="35724"/>
    <n v="5"/>
    <n v="0"/>
    <n v="0"/>
    <n v="100"/>
  </r>
  <r>
    <x v="31"/>
    <s v="Ghalib"/>
    <s v="Zakianiin"/>
    <x v="0"/>
    <d v="2019-05-19T00:00:00"/>
    <x v="4"/>
    <s v="Environmental Compliance"/>
    <x v="3"/>
    <s v="North"/>
    <n v="3151"/>
    <n v="37812"/>
    <n v="3"/>
    <n v="0"/>
    <n v="5"/>
    <n v="48"/>
  </r>
  <r>
    <x v="32"/>
    <s v="Muhamad"/>
    <s v="Eurul"/>
    <x v="0"/>
    <d v="2017-05-03T00:00:00"/>
    <x v="2"/>
    <s v="Quality Assurance"/>
    <x v="0"/>
    <s v="North"/>
    <n v="1551"/>
    <n v="18612"/>
    <n v="1"/>
    <n v="0"/>
    <n v="0"/>
    <n v="148"/>
  </r>
  <r>
    <x v="33"/>
    <s v="Eizat"/>
    <s v="Ghanim"/>
    <x v="0"/>
    <d v="2017-06-21T00:00:00"/>
    <x v="2"/>
    <s v="Product Development"/>
    <x v="2"/>
    <s v="South"/>
    <n v="2099"/>
    <n v="25188"/>
    <n v="1"/>
    <n v="0"/>
    <n v="0"/>
    <n v="5"/>
  </r>
  <r>
    <x v="34"/>
    <s v="Ahmad"/>
    <s v="Swyd"/>
    <x v="0"/>
    <d v="2017-02-01T00:00:00"/>
    <x v="5"/>
    <s v="Sales"/>
    <x v="0"/>
    <s v="North"/>
    <n v="808"/>
    <n v="9696"/>
    <n v="4.5"/>
    <n v="1"/>
    <n v="0"/>
    <n v="7"/>
  </r>
  <r>
    <x v="35"/>
    <s v="Muhamad"/>
    <s v="Aleass"/>
    <x v="0"/>
    <d v="2019-09-23T00:00:00"/>
    <x v="4"/>
    <s v="Manufacturing"/>
    <x v="1"/>
    <s v="Main"/>
    <n v="984"/>
    <n v="11808"/>
    <n v="4.5"/>
    <n v="6"/>
    <n v="0"/>
    <n v="37"/>
  </r>
  <r>
    <x v="36"/>
    <s v="Rima"/>
    <s v="AlAsfar"/>
    <x v="1"/>
    <d v="2016-01-27T00:00:00"/>
    <x v="3"/>
    <s v="Quality Assurance"/>
    <x v="0"/>
    <s v="North"/>
    <n v="1011"/>
    <n v="12132"/>
    <n v="5"/>
    <n v="0"/>
    <n v="3"/>
    <n v="5"/>
  </r>
  <r>
    <x v="37"/>
    <s v="Zayn"/>
    <s v="Aleabdyn Zaetar"/>
    <x v="1"/>
    <d v="2020-11-29T00:00:00"/>
    <x v="1"/>
    <s v="Quality Control"/>
    <x v="2"/>
    <s v="West"/>
    <n v="2026"/>
    <n v="24312"/>
    <n v="5"/>
    <n v="1"/>
    <n v="0"/>
    <n v="3"/>
  </r>
  <r>
    <x v="38"/>
    <s v="Hazim"/>
    <s v="Alshshatim"/>
    <x v="0"/>
    <d v="2018-06-17T00:00:00"/>
    <x v="0"/>
    <s v="Quality Control"/>
    <x v="0"/>
    <s v="Main"/>
    <n v="2801"/>
    <n v="33612"/>
    <n v="3"/>
    <n v="0"/>
    <n v="0"/>
    <n v="9"/>
  </r>
  <r>
    <x v="39"/>
    <s v="Dia"/>
    <s v="Alshahf"/>
    <x v="0"/>
    <d v="2019-09-14T00:00:00"/>
    <x v="4"/>
    <s v="Marketing"/>
    <x v="2"/>
    <s v="Main"/>
    <n v="3208"/>
    <n v="38496"/>
    <n v="3"/>
    <n v="0"/>
    <n v="0"/>
    <n v="0"/>
  </r>
  <r>
    <x v="40"/>
    <s v="Ayham"/>
    <s v="Almusaa"/>
    <x v="0"/>
    <d v="2019-04-26T00:00:00"/>
    <x v="4"/>
    <s v="Manufacturing"/>
    <x v="1"/>
    <s v="South"/>
    <n v="2129"/>
    <n v="25548"/>
    <n v="4.5"/>
    <n v="0"/>
    <n v="0"/>
    <n v="26"/>
  </r>
  <r>
    <x v="41"/>
    <s v="Abd Allatif"/>
    <s v="Mabrukh"/>
    <x v="0"/>
    <d v="2020-12-10T00:00:00"/>
    <x v="1"/>
    <s v="Facilities/Engineering"/>
    <x v="0"/>
    <s v="North"/>
    <n v="3344"/>
    <n v="40128"/>
    <n v="5"/>
    <n v="0"/>
    <n v="0"/>
    <n v="7"/>
  </r>
  <r>
    <x v="42"/>
    <s v="Salim"/>
    <s v="Abumaeun"/>
    <x v="0"/>
    <d v="2017-06-30T00:00:00"/>
    <x v="2"/>
    <s v="Account Management"/>
    <x v="2"/>
    <s v="Main"/>
    <n v="2836"/>
    <n v="34032"/>
    <n v="5"/>
    <n v="0"/>
    <n v="0"/>
    <n v="14"/>
  </r>
  <r>
    <x v="43"/>
    <s v="Rafat"/>
    <s v="Hamza"/>
    <x v="0"/>
    <d v="2020-05-03T00:00:00"/>
    <x v="1"/>
    <s v="Quality Control"/>
    <x v="1"/>
    <s v="Main"/>
    <n v="1960"/>
    <n v="23520"/>
    <n v="3"/>
    <n v="0"/>
    <n v="0"/>
    <n v="9"/>
  </r>
  <r>
    <x v="44"/>
    <s v="Ahmad"/>
    <s v="Laylana"/>
    <x v="0"/>
    <d v="2016-11-27T00:00:00"/>
    <x v="5"/>
    <s v="Facilities/Engineering"/>
    <x v="0"/>
    <s v="Main"/>
    <n v="1478"/>
    <n v="17736"/>
    <n v="4.5"/>
    <n v="5"/>
    <n v="6"/>
    <n v="7"/>
  </r>
  <r>
    <x v="45"/>
    <s v="Lobnaa"/>
    <s v="Khalifih"/>
    <x v="1"/>
    <d v="2019-12-18T00:00:00"/>
    <x v="4"/>
    <s v="Marketing"/>
    <x v="2"/>
    <s v="North"/>
    <n v="1981"/>
    <n v="23772"/>
    <n v="2"/>
    <n v="0"/>
    <n v="0"/>
    <n v="3"/>
  </r>
  <r>
    <x v="46"/>
    <s v="Sami"/>
    <s v="Alkhujih"/>
    <x v="0"/>
    <d v="2019-04-17T00:00:00"/>
    <x v="4"/>
    <s v="Creative"/>
    <x v="2"/>
    <s v="Main"/>
    <n v="2064"/>
    <n v="24768"/>
    <n v="2"/>
    <n v="0"/>
    <n v="0"/>
    <n v="0"/>
  </r>
  <r>
    <x v="47"/>
    <s v="Salam"/>
    <s v="Alealbi"/>
    <x v="1"/>
    <d v="2016-03-09T00:00:00"/>
    <x v="5"/>
    <s v="Manufacturing"/>
    <x v="0"/>
    <s v="Main"/>
    <n v="1045"/>
    <n v="12540"/>
    <n v="5"/>
    <n v="1"/>
    <n v="0"/>
    <n v="3"/>
  </r>
  <r>
    <x v="48"/>
    <s v="Rim"/>
    <s v="Almusaa"/>
    <x v="1"/>
    <d v="2020-05-06T00:00:00"/>
    <x v="1"/>
    <s v="Manufacturing"/>
    <x v="0"/>
    <s v="West"/>
    <n v="2022"/>
    <n v="24264"/>
    <n v="3"/>
    <n v="0"/>
    <n v="0"/>
    <n v="1"/>
  </r>
  <r>
    <x v="49"/>
    <s v="Ghada"/>
    <s v="Aleasimii"/>
    <x v="1"/>
    <d v="2019-10-21T00:00:00"/>
    <x v="4"/>
    <s v="Quality Assurance"/>
    <x v="0"/>
    <s v="North"/>
    <n v="2383"/>
    <n v="28596"/>
    <n v="5"/>
    <n v="0"/>
    <n v="4"/>
    <n v="1"/>
  </r>
  <r>
    <x v="50"/>
    <s v="Abd Alwahhab"/>
    <s v="Muhamad"/>
    <x v="0"/>
    <d v="2018-10-30T00:00:00"/>
    <x v="0"/>
    <s v="Manufacturing"/>
    <x v="0"/>
    <s v="West"/>
    <n v="1563"/>
    <n v="18756"/>
    <n v="3"/>
    <n v="3"/>
    <n v="0"/>
    <n v="1"/>
  </r>
  <r>
    <x v="51"/>
    <s v="Ayman"/>
    <s v="Eubayd"/>
    <x v="0"/>
    <d v="2019-08-22T00:00:00"/>
    <x v="4"/>
    <s v="Sales"/>
    <x v="1"/>
    <s v="West"/>
    <n v="919"/>
    <n v="11028"/>
    <n v="2"/>
    <n v="0"/>
    <n v="0"/>
    <n v="10"/>
  </r>
  <r>
    <x v="52"/>
    <s v="Faras"/>
    <s v="Karim"/>
    <x v="0"/>
    <d v="2020-10-23T00:00:00"/>
    <x v="1"/>
    <s v="Quality Assurance"/>
    <x v="0"/>
    <s v="Main"/>
    <n v="988"/>
    <n v="11856"/>
    <n v="5"/>
    <n v="0"/>
    <n v="0"/>
    <n v="5"/>
  </r>
  <r>
    <x v="53"/>
    <s v="Shadi"/>
    <s v="Salayk"/>
    <x v="0"/>
    <d v="2019-02-02T00:00:00"/>
    <x v="0"/>
    <s v="Quality Assurance"/>
    <x v="2"/>
    <s v="North"/>
    <n v="2631"/>
    <n v="31572"/>
    <n v="3"/>
    <n v="3"/>
    <n v="6"/>
    <n v="10"/>
  </r>
  <r>
    <x v="54"/>
    <s v="Eubay"/>
    <s v="Alttahir"/>
    <x v="0"/>
    <d v="2016-09-16T00:00:00"/>
    <x v="5"/>
    <s v="Quality Control"/>
    <x v="0"/>
    <s v="North"/>
    <n v="2368"/>
    <n v="28416"/>
    <n v="3"/>
    <n v="6"/>
    <n v="0"/>
    <n v="5"/>
  </r>
  <r>
    <x v="55"/>
    <s v="Abd Alhadi"/>
    <s v="Alzzahir"/>
    <x v="0"/>
    <d v="2018-03-14T00:00:00"/>
    <x v="0"/>
    <s v="Sales"/>
    <x v="0"/>
    <s v="South"/>
    <n v="2679"/>
    <n v="32148"/>
    <n v="3"/>
    <n v="3"/>
    <n v="0"/>
    <n v="85"/>
  </r>
  <r>
    <x v="56"/>
    <s v="Majdulin"/>
    <s v="Ashbrh"/>
    <x v="1"/>
    <d v="2019-03-16T00:00:00"/>
    <x v="4"/>
    <s v="Account Management"/>
    <x v="0"/>
    <s v="Main"/>
    <n v="2423"/>
    <n v="29076"/>
    <n v="3"/>
    <n v="5"/>
    <n v="0"/>
    <n v="10"/>
  </r>
  <r>
    <x v="57"/>
    <s v="Aylyn"/>
    <s v="Dahadal"/>
    <x v="1"/>
    <d v="2020-01-19T00:00:00"/>
    <x v="4"/>
    <s v="Quality Assurance"/>
    <x v="0"/>
    <s v="West"/>
    <n v="2115"/>
    <n v="25380"/>
    <n v="5"/>
    <n v="0"/>
    <n v="0"/>
    <n v="0"/>
  </r>
  <r>
    <x v="58"/>
    <s v="Tala"/>
    <s v="Tuish"/>
    <x v="1"/>
    <d v="2019-04-21T00:00:00"/>
    <x v="4"/>
    <s v="Product Development"/>
    <x v="2"/>
    <s v="North"/>
    <n v="2969"/>
    <n v="35628"/>
    <n v="1"/>
    <n v="0"/>
    <n v="0"/>
    <n v="11"/>
  </r>
  <r>
    <x v="59"/>
    <s v="Muhamad"/>
    <s v="Qarh"/>
    <x v="0"/>
    <d v="2019-07-19T00:00:00"/>
    <x v="4"/>
    <s v="Training"/>
    <x v="0"/>
    <s v="North"/>
    <n v="2467"/>
    <n v="29604"/>
    <n v="3"/>
    <n v="0"/>
    <n v="0"/>
    <n v="7"/>
  </r>
  <r>
    <x v="60"/>
    <s v="Eala"/>
    <s v="Almisri"/>
    <x v="1"/>
    <d v="2019-04-27T00:00:00"/>
    <x v="4"/>
    <s v="Facilities/Engineering"/>
    <x v="0"/>
    <s v="Main"/>
    <n v="3244"/>
    <n v="38928"/>
    <n v="3"/>
    <n v="0"/>
    <n v="0"/>
    <n v="10"/>
  </r>
  <r>
    <x v="61"/>
    <s v="Muhamad"/>
    <s v="Alzaybq"/>
    <x v="0"/>
    <d v="2018-12-05T00:00:00"/>
    <x v="0"/>
    <s v="Research/Development"/>
    <x v="0"/>
    <s v="Main"/>
    <n v="2132"/>
    <n v="25584"/>
    <n v="3"/>
    <n v="5"/>
    <n v="0"/>
    <n v="2"/>
  </r>
  <r>
    <x v="62"/>
    <s v="Muhamad"/>
    <s v="Asamy"/>
    <x v="0"/>
    <d v="2017-03-25T00:00:00"/>
    <x v="2"/>
    <s v="Manufacturing"/>
    <x v="2"/>
    <s v="North"/>
    <n v="994"/>
    <n v="11928"/>
    <n v="3"/>
    <n v="6"/>
    <n v="4"/>
    <n v="0"/>
  </r>
  <r>
    <x v="63"/>
    <s v="Ahmad"/>
    <s v="Alealbi"/>
    <x v="0"/>
    <d v="2016-01-20T00:00:00"/>
    <x v="3"/>
    <s v="IT"/>
    <x v="0"/>
    <s v="North"/>
    <n v="2304"/>
    <n v="27648"/>
    <n v="5"/>
    <n v="5"/>
    <n v="0"/>
    <n v="2"/>
  </r>
  <r>
    <x v="64"/>
    <s v="Ibrahim"/>
    <s v="Almasri"/>
    <x v="0"/>
    <d v="2018-06-29T00:00:00"/>
    <x v="0"/>
    <s v="Quality Assurance"/>
    <x v="0"/>
    <s v="Main"/>
    <n v="1207"/>
    <n v="14484"/>
    <n v="2"/>
    <n v="0"/>
    <n v="0"/>
    <n v="50"/>
  </r>
  <r>
    <x v="65"/>
    <s v="Hamdah"/>
    <s v="Alkhalifa"/>
    <x v="0"/>
    <d v="2019-09-07T00:00:00"/>
    <x v="4"/>
    <s v="Manufacturing"/>
    <x v="3"/>
    <s v="North"/>
    <n v="802"/>
    <n v="9624"/>
    <n v="4.5"/>
    <n v="2"/>
    <n v="0"/>
    <n v="3"/>
  </r>
  <r>
    <x v="66"/>
    <s v="Muhamad"/>
    <s v="Jawish"/>
    <x v="0"/>
    <d v="2019-11-25T00:00:00"/>
    <x v="4"/>
    <s v="Marketing"/>
    <x v="2"/>
    <s v="North"/>
    <n v="2065"/>
    <n v="24780"/>
    <n v="3"/>
    <n v="4"/>
    <n v="3"/>
    <n v="4"/>
  </r>
  <r>
    <x v="67"/>
    <s v="Muwmin"/>
    <s v="Almudhin"/>
    <x v="0"/>
    <d v="2020-06-28T00:00:00"/>
    <x v="1"/>
    <s v="IT"/>
    <x v="0"/>
    <s v="West"/>
    <n v="2882"/>
    <n v="34584"/>
    <n v="5"/>
    <n v="0"/>
    <n v="4"/>
    <n v="0"/>
  </r>
  <r>
    <x v="68"/>
    <s v="Ahmad"/>
    <s v="Zayd"/>
    <x v="0"/>
    <d v="2018-06-17T00:00:00"/>
    <x v="0"/>
    <s v="Account Management"/>
    <x v="0"/>
    <s v="North"/>
    <n v="2042"/>
    <n v="24504"/>
    <n v="5"/>
    <n v="0"/>
    <n v="3"/>
    <n v="64"/>
  </r>
  <r>
    <x v="69"/>
    <s v="Layzaan"/>
    <s v="Nabulsi"/>
    <x v="0"/>
    <d v="2019-12-03T00:00:00"/>
    <x v="4"/>
    <s v="Facilities/Engineering"/>
    <x v="1"/>
    <s v="West"/>
    <n v="2017"/>
    <n v="24204"/>
    <n v="3"/>
    <n v="6"/>
    <n v="0"/>
    <n v="8"/>
  </r>
  <r>
    <x v="70"/>
    <s v="Sarih"/>
    <s v="Eammar"/>
    <x v="0"/>
    <d v="2018-07-03T00:00:00"/>
    <x v="0"/>
    <s v="Quality Assurance"/>
    <x v="3"/>
    <s v="Main"/>
    <n v="3215"/>
    <n v="38580"/>
    <n v="2"/>
    <n v="5"/>
    <n v="0"/>
    <n v="2"/>
  </r>
  <r>
    <x v="71"/>
    <s v="Karam"/>
    <s v="Hutayniun"/>
    <x v="0"/>
    <d v="2016-11-17T00:00:00"/>
    <x v="5"/>
    <s v="Manufacturing"/>
    <x v="2"/>
    <s v="North"/>
    <n v="2957"/>
    <n v="35484"/>
    <n v="5"/>
    <n v="1"/>
    <n v="0"/>
    <n v="10"/>
  </r>
  <r>
    <x v="72"/>
    <s v="Shahad"/>
    <s v="Shanan"/>
    <x v="1"/>
    <d v="2019-10-02T00:00:00"/>
    <x v="4"/>
    <s v="Product Development"/>
    <x v="3"/>
    <s v="North"/>
    <n v="891"/>
    <n v="10692"/>
    <n v="3"/>
    <n v="0"/>
    <n v="2"/>
    <n v="6"/>
  </r>
  <r>
    <x v="73"/>
    <s v="Salah"/>
    <s v="Ramadan"/>
    <x v="0"/>
    <d v="2018-08-27T00:00:00"/>
    <x v="0"/>
    <s v="Environmental Health/Safety"/>
    <x v="2"/>
    <s v="North"/>
    <n v="1971"/>
    <n v="23652"/>
    <n v="4.5"/>
    <n v="5"/>
    <n v="1"/>
    <n v="0"/>
  </r>
  <r>
    <x v="74"/>
    <s v="Sami"/>
    <s v="Alkhayrat"/>
    <x v="0"/>
    <d v="2020-11-14T00:00:00"/>
    <x v="1"/>
    <s v="Facilities/Engineering"/>
    <x v="2"/>
    <s v="West"/>
    <n v="2317"/>
    <n v="27804"/>
    <n v="3"/>
    <n v="6"/>
    <n v="1"/>
    <n v="10"/>
  </r>
  <r>
    <x v="75"/>
    <s v="Khalid"/>
    <s v="Snan"/>
    <x v="0"/>
    <d v="2019-11-28T00:00:00"/>
    <x v="4"/>
    <s v="Manufacturing"/>
    <x v="0"/>
    <s v="South"/>
    <n v="1657"/>
    <n v="19884"/>
    <n v="3"/>
    <n v="0"/>
    <n v="0"/>
    <n v="12"/>
  </r>
  <r>
    <x v="76"/>
    <s v="Salam"/>
    <s v="Alkhatib"/>
    <x v="0"/>
    <d v="2018-04-20T00:00:00"/>
    <x v="0"/>
    <s v="Manufacturing"/>
    <x v="0"/>
    <s v="West"/>
    <n v="3053"/>
    <n v="36636"/>
    <n v="3"/>
    <n v="0"/>
    <n v="3"/>
    <n v="6"/>
  </r>
  <r>
    <x v="77"/>
    <s v="Darar"/>
    <s v="Alshiyraziu"/>
    <x v="0"/>
    <d v="2020-01-10T00:00:00"/>
    <x v="4"/>
    <s v="Manufacturing"/>
    <x v="2"/>
    <s v="West"/>
    <n v="1887"/>
    <n v="22644"/>
    <n v="1"/>
    <n v="6"/>
    <n v="0"/>
    <n v="4"/>
  </r>
  <r>
    <x v="78"/>
    <s v="Mazin"/>
    <s v="Yusif"/>
    <x v="0"/>
    <d v="2018-11-07T00:00:00"/>
    <x v="0"/>
    <s v="Manufacturing"/>
    <x v="2"/>
    <s v="Main"/>
    <n v="1457"/>
    <n v="17484"/>
    <n v="4.5"/>
    <n v="0"/>
    <n v="0"/>
    <n v="9"/>
  </r>
  <r>
    <x v="79"/>
    <s v="Rasha"/>
    <s v="Naeim"/>
    <x v="1"/>
    <d v="2019-05-06T00:00:00"/>
    <x v="4"/>
    <s v="Quality Control"/>
    <x v="0"/>
    <s v="Main"/>
    <n v="2581"/>
    <n v="30972"/>
    <n v="5"/>
    <n v="0"/>
    <n v="0"/>
    <n v="8"/>
  </r>
  <r>
    <x v="80"/>
    <s v="Eamra"/>
    <s v="Alshueranii"/>
    <x v="1"/>
    <d v="2016-08-27T00:00:00"/>
    <x v="5"/>
    <s v="IT"/>
    <x v="2"/>
    <s v="North"/>
    <n v="901"/>
    <n v="10812"/>
    <n v="5"/>
    <n v="0"/>
    <n v="2"/>
    <n v="10"/>
  </r>
  <r>
    <x v="81"/>
    <s v="Amira"/>
    <s v="Akrym"/>
    <x v="1"/>
    <d v="2016-06-23T00:00:00"/>
    <x v="5"/>
    <s v="Account Management"/>
    <x v="2"/>
    <s v="Main"/>
    <n v="898"/>
    <n v="10776"/>
    <n v="4.5"/>
    <n v="3"/>
    <n v="0"/>
    <n v="11"/>
  </r>
  <r>
    <x v="82"/>
    <s v="Muhamad"/>
    <s v="Hamzat"/>
    <x v="0"/>
    <d v="2020-08-26T00:00:00"/>
    <x v="1"/>
    <s v="Account Management"/>
    <x v="0"/>
    <s v="West"/>
    <n v="2878"/>
    <n v="34536"/>
    <n v="3"/>
    <n v="0"/>
    <n v="0"/>
    <n v="2"/>
  </r>
  <r>
    <x v="83"/>
    <s v="Muhamad"/>
    <s v="Khayr"/>
    <x v="0"/>
    <d v="2018-01-16T00:00:00"/>
    <x v="2"/>
    <s v="Environmental Compliance"/>
    <x v="0"/>
    <s v="Main"/>
    <n v="2539"/>
    <n v="30468"/>
    <n v="3"/>
    <n v="0"/>
    <n v="0"/>
    <n v="0"/>
  </r>
  <r>
    <x v="84"/>
    <s v="Abd Almalik"/>
    <s v="Nazal"/>
    <x v="0"/>
    <d v="2018-07-05T00:00:00"/>
    <x v="0"/>
    <s v="Quality Control"/>
    <x v="0"/>
    <s v="North"/>
    <n v="2533"/>
    <n v="30396"/>
    <n v="5"/>
    <n v="0"/>
    <n v="0"/>
    <n v="2"/>
  </r>
  <r>
    <x v="85"/>
    <s v="Rabya"/>
    <s v="Kiwan"/>
    <x v="1"/>
    <d v="2019-01-16T00:00:00"/>
    <x v="0"/>
    <s v="Training"/>
    <x v="0"/>
    <s v="West"/>
    <n v="885"/>
    <n v="10620"/>
    <n v="3"/>
    <n v="0"/>
    <n v="0"/>
    <n v="3"/>
  </r>
  <r>
    <x v="86"/>
    <s v="Muhamad"/>
    <s v="Khayr"/>
    <x v="0"/>
    <d v="2019-06-19T00:00:00"/>
    <x v="4"/>
    <s v="Facilities/Engineering"/>
    <x v="2"/>
    <s v="West"/>
    <n v="1166"/>
    <n v="13992"/>
    <n v="5"/>
    <n v="0"/>
    <n v="4"/>
    <n v="5"/>
  </r>
  <r>
    <x v="87"/>
    <s v="Samah"/>
    <s v="Almaydanii"/>
    <x v="1"/>
    <d v="2017-10-01T00:00:00"/>
    <x v="2"/>
    <s v="Account Management"/>
    <x v="2"/>
    <s v="West"/>
    <n v="2022"/>
    <n v="24264"/>
    <n v="5"/>
    <n v="0"/>
    <n v="0"/>
    <n v="3"/>
  </r>
  <r>
    <x v="88"/>
    <s v="Ali"/>
    <s v="Watar"/>
    <x v="0"/>
    <d v="2020-01-26T00:00:00"/>
    <x v="4"/>
    <s v="Training"/>
    <x v="0"/>
    <s v="Main"/>
    <n v="1752"/>
    <n v="21024"/>
    <n v="2"/>
    <n v="5"/>
    <n v="4"/>
    <n v="76"/>
  </r>
  <r>
    <x v="89"/>
    <s v="Darin"/>
    <s v="Ghunum"/>
    <x v="1"/>
    <d v="2019-07-20T00:00:00"/>
    <x v="4"/>
    <s v="IT"/>
    <x v="0"/>
    <s v="Main"/>
    <n v="3157"/>
    <n v="37884"/>
    <n v="1"/>
    <n v="6"/>
    <n v="1"/>
    <n v="4"/>
  </r>
  <r>
    <x v="90"/>
    <s v="Faras"/>
    <s v="Alhamal"/>
    <x v="0"/>
    <d v="2020-07-27T00:00:00"/>
    <x v="1"/>
    <s v="Quality Control"/>
    <x v="0"/>
    <s v="Main"/>
    <n v="3211"/>
    <n v="38532"/>
    <n v="5"/>
    <n v="6"/>
    <n v="1"/>
    <n v="9"/>
  </r>
  <r>
    <x v="91"/>
    <s v="Amal"/>
    <s v="Asamy"/>
    <x v="1"/>
    <d v="2018-10-11T00:00:00"/>
    <x v="0"/>
    <s v="Quality Assurance"/>
    <x v="0"/>
    <s v="North"/>
    <n v="1062"/>
    <n v="12744"/>
    <n v="3"/>
    <n v="1"/>
    <n v="0"/>
    <n v="7"/>
  </r>
  <r>
    <x v="92"/>
    <s v="Razan"/>
    <s v="AlAhmad"/>
    <x v="1"/>
    <d v="2019-07-11T00:00:00"/>
    <x v="4"/>
    <s v="Facilities/Engineering"/>
    <x v="0"/>
    <s v="Main"/>
    <n v="1406"/>
    <n v="16872"/>
    <n v="4.5"/>
    <n v="4"/>
    <n v="0"/>
    <n v="46"/>
  </r>
  <r>
    <x v="93"/>
    <s v="Muhamad"/>
    <s v="Kharasah"/>
    <x v="0"/>
    <d v="2019-08-17T00:00:00"/>
    <x v="4"/>
    <s v="Environmental Compliance"/>
    <x v="2"/>
    <s v="West"/>
    <n v="3084"/>
    <n v="37008"/>
    <n v="3"/>
    <n v="6"/>
    <n v="0"/>
    <n v="3"/>
  </r>
  <r>
    <x v="94"/>
    <s v="Tariq"/>
    <s v="Bryghl"/>
    <x v="0"/>
    <d v="2020-11-04T00:00:00"/>
    <x v="1"/>
    <s v="Marketing"/>
    <x v="0"/>
    <s v="Main"/>
    <n v="1815"/>
    <n v="21780"/>
    <n v="4.5"/>
    <n v="1"/>
    <n v="0"/>
    <n v="9"/>
  </r>
  <r>
    <x v="95"/>
    <s v="Muhamad"/>
    <s v="Husayn"/>
    <x v="0"/>
    <d v="2017-07-21T00:00:00"/>
    <x v="2"/>
    <s v="IT"/>
    <x v="2"/>
    <s v="Main"/>
    <n v="1861"/>
    <n v="22332"/>
    <n v="3"/>
    <n v="0"/>
    <n v="5"/>
    <n v="9"/>
  </r>
  <r>
    <x v="96"/>
    <s v="Fadi"/>
    <s v="Aleid"/>
    <x v="0"/>
    <d v="2018-04-10T00:00:00"/>
    <x v="0"/>
    <s v="Manufacturing"/>
    <x v="2"/>
    <s v="North"/>
    <n v="3088"/>
    <n v="37056"/>
    <n v="5"/>
    <n v="3"/>
    <n v="0"/>
    <n v="10"/>
  </r>
  <r>
    <x v="97"/>
    <s v="Tariq"/>
    <s v="Abuzahir"/>
    <x v="0"/>
    <d v="2017-05-03T00:00:00"/>
    <x v="2"/>
    <s v="Human Resources"/>
    <x v="3"/>
    <s v="Main"/>
    <n v="3071"/>
    <n v="36852"/>
    <n v="5"/>
    <n v="6"/>
    <n v="0"/>
    <n v="2"/>
  </r>
  <r>
    <x v="98"/>
    <s v="Mazin"/>
    <s v="Eubayd"/>
    <x v="0"/>
    <d v="2018-11-29T00:00:00"/>
    <x v="0"/>
    <s v="Manufacturing"/>
    <x v="2"/>
    <s v="North"/>
    <n v="3298"/>
    <n v="39576"/>
    <n v="3"/>
    <n v="0"/>
    <n v="0"/>
    <n v="9"/>
  </r>
  <r>
    <x v="99"/>
    <s v="Lina"/>
    <s v="Aljabr"/>
    <x v="1"/>
    <d v="2018-08-27T00:00:00"/>
    <x v="0"/>
    <s v="Product Development"/>
    <x v="1"/>
    <s v="North"/>
    <n v="828"/>
    <n v="9936"/>
    <n v="5"/>
    <n v="0"/>
    <n v="0"/>
    <n v="10"/>
  </r>
  <r>
    <x v="100"/>
    <s v="Muhamad"/>
    <s v="Ayman"/>
    <x v="0"/>
    <d v="2019-11-17T00:00:00"/>
    <x v="4"/>
    <s v="Manufacturing"/>
    <x v="0"/>
    <s v="North"/>
    <n v="2404"/>
    <n v="28848"/>
    <n v="4.5"/>
    <n v="0"/>
    <n v="0"/>
    <n v="99"/>
  </r>
  <r>
    <x v="101"/>
    <s v="Ayman"/>
    <s v="Muhamad"/>
    <x v="0"/>
    <d v="2019-10-02T00:00:00"/>
    <x v="4"/>
    <s v="Marketing"/>
    <x v="0"/>
    <s v="South"/>
    <n v="3410"/>
    <n v="40920"/>
    <n v="3"/>
    <n v="2"/>
    <n v="0"/>
    <n v="8"/>
  </r>
  <r>
    <x v="102"/>
    <s v="Ahmad"/>
    <s v="Abu Eadlh"/>
    <x v="0"/>
    <d v="2019-11-24T00:00:00"/>
    <x v="4"/>
    <s v="Product Development"/>
    <x v="2"/>
    <s v="Main"/>
    <n v="1817"/>
    <n v="21804"/>
    <n v="5"/>
    <n v="1"/>
    <n v="0"/>
    <n v="1"/>
  </r>
  <r>
    <x v="103"/>
    <s v="Rami"/>
    <s v="Abu Adhan"/>
    <x v="0"/>
    <d v="2020-02-06T00:00:00"/>
    <x v="4"/>
    <s v="Manufacturing"/>
    <x v="3"/>
    <s v="Main"/>
    <n v="2923"/>
    <n v="35076"/>
    <n v="2"/>
    <n v="0"/>
    <n v="0"/>
    <n v="0"/>
  </r>
  <r>
    <x v="104"/>
    <s v="Muhamad"/>
    <s v="Hamzat"/>
    <x v="0"/>
    <d v="2018-10-24T00:00:00"/>
    <x v="0"/>
    <s v="Professional Training Group"/>
    <x v="0"/>
    <s v="South"/>
    <n v="3138"/>
    <n v="37656"/>
    <n v="5"/>
    <n v="6"/>
    <n v="0"/>
    <n v="10"/>
  </r>
  <r>
    <x v="105"/>
    <s v="Ehab"/>
    <s v="Alkhibaz"/>
    <x v="0"/>
    <d v="2020-05-28T00:00:00"/>
    <x v="1"/>
    <s v="Account Management"/>
    <x v="0"/>
    <s v="North"/>
    <n v="3139"/>
    <n v="37668"/>
    <n v="3"/>
    <n v="0"/>
    <n v="0"/>
    <n v="10"/>
  </r>
  <r>
    <x v="106"/>
    <s v="Ibrahim"/>
    <s v="Nabulsi"/>
    <x v="0"/>
    <d v="2016-05-17T00:00:00"/>
    <x v="5"/>
    <s v="Training"/>
    <x v="2"/>
    <s v="Main"/>
    <n v="3263"/>
    <n v="39156"/>
    <n v="3"/>
    <n v="0"/>
    <n v="0"/>
    <n v="3"/>
  </r>
  <r>
    <x v="107"/>
    <s v="Ranya"/>
    <s v="Salah Aldiyn"/>
    <x v="1"/>
    <d v="2019-01-22T00:00:00"/>
    <x v="0"/>
    <s v="Quality Control"/>
    <x v="2"/>
    <s v="Main"/>
    <n v="1258"/>
    <n v="15096"/>
    <n v="5"/>
    <n v="0"/>
    <n v="0"/>
    <n v="5"/>
  </r>
  <r>
    <x v="108"/>
    <s v="Juri"/>
    <s v="Zaytun"/>
    <x v="1"/>
    <d v="2020-09-11T00:00:00"/>
    <x v="1"/>
    <s v="Marketing"/>
    <x v="0"/>
    <s v="North"/>
    <n v="2527"/>
    <n v="30324"/>
    <n v="3"/>
    <n v="3"/>
    <n v="0"/>
    <n v="16"/>
  </r>
  <r>
    <x v="109"/>
    <s v="Sahar"/>
    <s v="Almuhamad"/>
    <x v="1"/>
    <d v="2018-09-19T00:00:00"/>
    <x v="0"/>
    <s v="Marketing"/>
    <x v="0"/>
    <s v="Main"/>
    <n v="3017"/>
    <n v="36204"/>
    <n v="4.5"/>
    <n v="0"/>
    <n v="4"/>
    <n v="4"/>
  </r>
  <r>
    <x v="110"/>
    <s v="Mari"/>
    <s v="Ayly"/>
    <x v="1"/>
    <d v="2016-04-20T00:00:00"/>
    <x v="5"/>
    <s v="Account Management"/>
    <x v="1"/>
    <s v="North"/>
    <n v="1639"/>
    <n v="19668"/>
    <n v="5"/>
    <n v="0"/>
    <n v="0"/>
    <n v="2"/>
  </r>
  <r>
    <x v="111"/>
    <s v="Ali"/>
    <s v="Alhuri"/>
    <x v="0"/>
    <d v="2019-10-04T00:00:00"/>
    <x v="4"/>
    <s v="IT"/>
    <x v="0"/>
    <s v="Main"/>
    <n v="1867"/>
    <n v="22404"/>
    <n v="3"/>
    <n v="1"/>
    <n v="0"/>
    <n v="3"/>
  </r>
  <r>
    <x v="112"/>
    <s v="Dania"/>
    <s v="Almala"/>
    <x v="1"/>
    <d v="2016-10-16T00:00:00"/>
    <x v="5"/>
    <s v="Quality Assurance"/>
    <x v="2"/>
    <s v="Main"/>
    <n v="2314"/>
    <n v="27768"/>
    <n v="2"/>
    <n v="0"/>
    <n v="3"/>
    <n v="5"/>
  </r>
  <r>
    <x v="113"/>
    <s v="Rym"/>
    <s v="Alsydawi"/>
    <x v="1"/>
    <d v="2017-02-04T00:00:00"/>
    <x v="5"/>
    <s v="Quality Control"/>
    <x v="1"/>
    <s v="Main"/>
    <n v="2679"/>
    <n v="32148"/>
    <n v="5"/>
    <n v="6"/>
    <n v="0"/>
    <n v="1"/>
  </r>
  <r>
    <x v="114"/>
    <s v="Mahir"/>
    <s v="Alshear"/>
    <x v="0"/>
    <d v="2019-06-02T00:00:00"/>
    <x v="4"/>
    <s v="Quality Control"/>
    <x v="0"/>
    <s v="North"/>
    <n v="3166"/>
    <n v="37992"/>
    <n v="4.5"/>
    <n v="5"/>
    <n v="0"/>
    <n v="4"/>
  </r>
  <r>
    <x v="115"/>
    <s v="Ibrahim"/>
    <s v="Alhamid"/>
    <x v="0"/>
    <d v="2019-03-03T00:00:00"/>
    <x v="4"/>
    <s v="Manufacturing"/>
    <x v="2"/>
    <s v="Main"/>
    <n v="2429"/>
    <n v="29148"/>
    <n v="5"/>
    <n v="0"/>
    <n v="0"/>
    <n v="7"/>
  </r>
  <r>
    <x v="116"/>
    <s v="Muhamad"/>
    <s v="Alkhayr"/>
    <x v="0"/>
    <d v="2019-10-06T00:00:00"/>
    <x v="4"/>
    <s v="Manufacturing"/>
    <x v="2"/>
    <s v="Main"/>
    <n v="1865"/>
    <n v="22380"/>
    <n v="4.5"/>
    <n v="0"/>
    <n v="0"/>
    <n v="4"/>
  </r>
  <r>
    <x v="117"/>
    <s v="Muhamad"/>
    <s v="Bashshar"/>
    <x v="0"/>
    <d v="2018-02-15T00:00:00"/>
    <x v="2"/>
    <s v="Account Management"/>
    <x v="2"/>
    <s v="South"/>
    <n v="868"/>
    <n v="10416"/>
    <n v="4.5"/>
    <n v="2"/>
    <n v="0"/>
    <n v="2"/>
  </r>
  <r>
    <x v="118"/>
    <s v="Muhamad"/>
    <s v="Jhad"/>
    <x v="0"/>
    <d v="2019-04-03T00:00:00"/>
    <x v="4"/>
    <s v="Manufacturing"/>
    <x v="0"/>
    <s v="West"/>
    <n v="3411"/>
    <n v="40932"/>
    <n v="5"/>
    <n v="4"/>
    <n v="0"/>
    <n v="2"/>
  </r>
  <r>
    <x v="119"/>
    <s v="Limays"/>
    <s v="Ghrz"/>
    <x v="1"/>
    <d v="2016-11-13T00:00:00"/>
    <x v="5"/>
    <s v="Marketing"/>
    <x v="3"/>
    <s v="North"/>
    <n v="3324"/>
    <n v="39888"/>
    <n v="3"/>
    <n v="5"/>
    <n v="0"/>
    <n v="7"/>
  </r>
  <r>
    <x v="120"/>
    <s v="Zaydun"/>
    <s v="Jabir"/>
    <x v="0"/>
    <d v="2019-10-24T00:00:00"/>
    <x v="4"/>
    <s v="Manufacturing"/>
    <x v="2"/>
    <s v="Main"/>
    <n v="2715"/>
    <n v="32580"/>
    <n v="1"/>
    <n v="0"/>
    <n v="3"/>
    <n v="3"/>
  </r>
  <r>
    <x v="121"/>
    <s v="Fatima"/>
    <s v="Zaetar"/>
    <x v="1"/>
    <d v="2019-07-28T00:00:00"/>
    <x v="4"/>
    <s v="Quality Assurance"/>
    <x v="2"/>
    <s v="West"/>
    <n v="2664"/>
    <n v="31968"/>
    <n v="4.5"/>
    <n v="1"/>
    <n v="0"/>
    <n v="9"/>
  </r>
  <r>
    <x v="122"/>
    <s v="Tariq"/>
    <s v="Shakir"/>
    <x v="0"/>
    <d v="2020-10-30T00:00:00"/>
    <x v="1"/>
    <s v="Quality Control"/>
    <x v="1"/>
    <s v="Main"/>
    <n v="1801"/>
    <n v="21612"/>
    <n v="5"/>
    <n v="0"/>
    <n v="0"/>
    <n v="82"/>
  </r>
  <r>
    <x v="123"/>
    <s v="Ruyda"/>
    <s v="Alhamadii"/>
    <x v="1"/>
    <d v="2018-01-25T00:00:00"/>
    <x v="2"/>
    <s v="Manufacturing"/>
    <x v="2"/>
    <s v="Main"/>
    <n v="1452"/>
    <n v="17424"/>
    <n v="3"/>
    <n v="0"/>
    <n v="0"/>
    <n v="0"/>
  </r>
  <r>
    <x v="124"/>
    <s v="Anwar"/>
    <s v="Almaseud"/>
    <x v="0"/>
    <d v="2017-06-28T00:00:00"/>
    <x v="2"/>
    <s v="Quality Control"/>
    <x v="2"/>
    <s v="North"/>
    <n v="2358"/>
    <n v="28296"/>
    <n v="3"/>
    <n v="0"/>
    <n v="0"/>
    <n v="14"/>
  </r>
  <r>
    <x v="125"/>
    <s v="Fayaruz"/>
    <s v="Sabih"/>
    <x v="1"/>
    <d v="2019-08-11T00:00:00"/>
    <x v="4"/>
    <s v="Manufacturing"/>
    <x v="0"/>
    <s v="North"/>
    <n v="784"/>
    <n v="9408"/>
    <n v="3"/>
    <n v="2"/>
    <n v="3"/>
    <n v="9"/>
  </r>
  <r>
    <x v="126"/>
    <s v="Jwny"/>
    <s v="Alrashid"/>
    <x v="0"/>
    <d v="2017-07-27T00:00:00"/>
    <x v="2"/>
    <s v="Manufacturing"/>
    <x v="0"/>
    <s v="Main"/>
    <n v="1423"/>
    <n v="17076"/>
    <n v="3"/>
    <n v="0"/>
    <n v="0"/>
    <n v="4"/>
  </r>
  <r>
    <x v="127"/>
    <s v="Karam"/>
    <s v="Kiali"/>
    <x v="0"/>
    <d v="2018-07-28T00:00:00"/>
    <x v="0"/>
    <s v="Human Resources"/>
    <x v="2"/>
    <s v="Main"/>
    <n v="2174"/>
    <n v="26088"/>
    <n v="2"/>
    <n v="6"/>
    <n v="0"/>
    <n v="10"/>
  </r>
  <r>
    <x v="128"/>
    <s v="Jamal"/>
    <s v="Alhalib"/>
    <x v="0"/>
    <d v="2020-07-18T00:00:00"/>
    <x v="1"/>
    <s v="Marketing"/>
    <x v="0"/>
    <s v="North"/>
    <n v="2182"/>
    <n v="26184"/>
    <n v="4.5"/>
    <n v="6"/>
    <n v="0"/>
    <n v="74"/>
  </r>
  <r>
    <x v="129"/>
    <s v="Suzan"/>
    <s v="Alsawis"/>
    <x v="1"/>
    <d v="2019-07-29T00:00:00"/>
    <x v="4"/>
    <s v="Quality Control"/>
    <x v="0"/>
    <s v="Main"/>
    <n v="2437"/>
    <n v="29244"/>
    <n v="3"/>
    <n v="0"/>
    <n v="0"/>
    <n v="2"/>
  </r>
  <r>
    <x v="130"/>
    <s v="Alaa"/>
    <s v="Efan"/>
    <x v="1"/>
    <d v="2019-09-18T00:00:00"/>
    <x v="4"/>
    <s v="Quality Control"/>
    <x v="0"/>
    <s v="Main"/>
    <n v="926"/>
    <n v="11112"/>
    <n v="2"/>
    <n v="3"/>
    <n v="0"/>
    <n v="1"/>
  </r>
  <r>
    <x v="131"/>
    <s v="Jihad"/>
    <s v="Aldarawasha"/>
    <x v="0"/>
    <d v="2017-01-30T00:00:00"/>
    <x v="5"/>
    <s v="Marketing"/>
    <x v="2"/>
    <s v="West"/>
    <n v="1506"/>
    <n v="18072"/>
    <n v="3"/>
    <n v="0"/>
    <n v="0"/>
    <n v="1"/>
  </r>
  <r>
    <x v="132"/>
    <s v="Muhamad"/>
    <s v="Khalid"/>
    <x v="0"/>
    <d v="2018-01-03T00:00:00"/>
    <x v="2"/>
    <s v="IT"/>
    <x v="1"/>
    <s v="North"/>
    <n v="3159"/>
    <n v="37908"/>
    <n v="5"/>
    <n v="0"/>
    <n v="0"/>
    <n v="10"/>
  </r>
  <r>
    <x v="133"/>
    <s v="Haithim"/>
    <s v="Hujah"/>
    <x v="0"/>
    <d v="2017-09-04T00:00:00"/>
    <x v="2"/>
    <s v="Quality Assurance"/>
    <x v="3"/>
    <s v="North"/>
    <n v="1117"/>
    <n v="13404"/>
    <n v="1"/>
    <n v="0"/>
    <n v="0"/>
    <n v="3"/>
  </r>
  <r>
    <x v="134"/>
    <s v="Duhana"/>
    <s v="Alakhris"/>
    <x v="1"/>
    <d v="2018-06-14T00:00:00"/>
    <x v="0"/>
    <s v="Quality Control"/>
    <x v="3"/>
    <s v="West"/>
    <n v="2379"/>
    <n v="28548"/>
    <n v="4.5"/>
    <n v="0"/>
    <n v="0"/>
    <n v="7"/>
  </r>
  <r>
    <x v="135"/>
    <s v="Eazalidin"/>
    <s v="Almala"/>
    <x v="0"/>
    <d v="2019-11-28T00:00:00"/>
    <x v="4"/>
    <s v="Manufacturing"/>
    <x v="0"/>
    <s v="Main"/>
    <n v="2372"/>
    <n v="28464"/>
    <n v="5"/>
    <n v="4"/>
    <n v="1"/>
    <n v="6"/>
  </r>
  <r>
    <x v="136"/>
    <s v="Habib"/>
    <s v="Klizli"/>
    <x v="0"/>
    <d v="2020-02-09T00:00:00"/>
    <x v="4"/>
    <s v="Quality Assurance"/>
    <x v="0"/>
    <s v="North"/>
    <n v="2908"/>
    <n v="34896"/>
    <n v="3"/>
    <n v="0"/>
    <n v="0"/>
    <n v="12"/>
  </r>
  <r>
    <x v="137"/>
    <s v="Rasha"/>
    <s v="Bajubuj"/>
    <x v="1"/>
    <d v="2020-05-12T00:00:00"/>
    <x v="1"/>
    <s v="Environmental Compliance"/>
    <x v="0"/>
    <s v="Main"/>
    <n v="2019"/>
    <n v="24228"/>
    <n v="3"/>
    <n v="5"/>
    <n v="2"/>
    <n v="15"/>
  </r>
  <r>
    <x v="138"/>
    <s v="Mahir"/>
    <s v="Albaghdadi"/>
    <x v="0"/>
    <d v="2018-05-29T00:00:00"/>
    <x v="0"/>
    <s v="Manufacturing"/>
    <x v="0"/>
    <s v="North"/>
    <n v="877"/>
    <n v="10524"/>
    <n v="1"/>
    <n v="0"/>
    <n v="0"/>
    <n v="0"/>
  </r>
  <r>
    <x v="139"/>
    <s v="Alaa"/>
    <s v="Almunzilijiu"/>
    <x v="0"/>
    <d v="2019-03-22T00:00:00"/>
    <x v="4"/>
    <s v="Marketing"/>
    <x v="0"/>
    <s v="North"/>
    <n v="1043"/>
    <n v="12516"/>
    <n v="5"/>
    <n v="0"/>
    <n v="0"/>
    <n v="0"/>
  </r>
  <r>
    <x v="140"/>
    <s v="Labanaa"/>
    <s v="Qaziyha"/>
    <x v="1"/>
    <d v="2019-08-21T00:00:00"/>
    <x v="4"/>
    <s v="IT"/>
    <x v="2"/>
    <s v="Main"/>
    <n v="3258"/>
    <n v="39096"/>
    <n v="3"/>
    <n v="3"/>
    <n v="0"/>
    <n v="0"/>
  </r>
  <r>
    <x v="141"/>
    <s v="Fatnh"/>
    <s v="Abu"/>
    <x v="1"/>
    <d v="2020-11-30T00:00:00"/>
    <x v="1"/>
    <s v="Quality Assurance"/>
    <x v="1"/>
    <s v="North"/>
    <n v="976"/>
    <n v="11712"/>
    <n v="5"/>
    <n v="5"/>
    <n v="0"/>
    <n v="2"/>
  </r>
  <r>
    <x v="142"/>
    <s v="Iilyas"/>
    <s v="Dahadal"/>
    <x v="1"/>
    <d v="2019-04-16T00:00:00"/>
    <x v="4"/>
    <s v="Account Management"/>
    <x v="0"/>
    <s v="Main"/>
    <n v="3096"/>
    <n v="37152"/>
    <n v="2"/>
    <n v="0"/>
    <n v="0"/>
    <n v="8"/>
  </r>
  <r>
    <x v="143"/>
    <s v="Rim"/>
    <s v="Huaydi"/>
    <x v="1"/>
    <d v="2019-03-27T00:00:00"/>
    <x v="4"/>
    <s v="Training"/>
    <x v="0"/>
    <s v="West"/>
    <n v="1985"/>
    <n v="23820"/>
    <n v="3"/>
    <n v="6"/>
    <n v="2"/>
    <n v="6"/>
  </r>
  <r>
    <x v="144"/>
    <s v="Ahmad"/>
    <s v="Muhamad"/>
    <x v="0"/>
    <d v="2020-01-20T00:00:00"/>
    <x v="4"/>
    <s v="Product Development"/>
    <x v="2"/>
    <s v="Main"/>
    <n v="2371"/>
    <n v="28452"/>
    <n v="5"/>
    <n v="0"/>
    <n v="0"/>
    <n v="1"/>
  </r>
  <r>
    <x v="145"/>
    <s v="Abd Alruhmin"/>
    <s v="Almahrus"/>
    <x v="0"/>
    <d v="2019-02-24T00:00:00"/>
    <x v="0"/>
    <s v="Quality Assurance"/>
    <x v="0"/>
    <s v="North"/>
    <n v="2562"/>
    <n v="30744"/>
    <n v="2"/>
    <n v="4"/>
    <n v="0"/>
    <n v="3"/>
  </r>
  <r>
    <x v="146"/>
    <s v="Biaism"/>
    <s v="Tyzry"/>
    <x v="1"/>
    <d v="2020-08-28T00:00:00"/>
    <x v="1"/>
    <s v="Quality Control"/>
    <x v="3"/>
    <s v="Main"/>
    <n v="1254"/>
    <n v="15048"/>
    <n v="5"/>
    <n v="0"/>
    <n v="0"/>
    <n v="8"/>
  </r>
  <r>
    <x v="147"/>
    <s v="Omar"/>
    <s v="Milatu"/>
    <x v="0"/>
    <d v="2018-03-14T00:00:00"/>
    <x v="0"/>
    <s v="Manufacturing"/>
    <x v="3"/>
    <s v="Main"/>
    <n v="793"/>
    <n v="9516"/>
    <n v="5"/>
    <n v="6"/>
    <n v="0"/>
    <n v="2"/>
  </r>
  <r>
    <x v="148"/>
    <s v="Alyida"/>
    <s v="Nieamah"/>
    <x v="1"/>
    <d v="2017-09-29T00:00:00"/>
    <x v="2"/>
    <s v="Creative"/>
    <x v="0"/>
    <s v="West"/>
    <n v="2416"/>
    <n v="28992"/>
    <n v="3"/>
    <n v="0"/>
    <n v="0"/>
    <n v="2"/>
  </r>
  <r>
    <x v="149"/>
    <s v="Kamal"/>
    <s v="Hajl"/>
    <x v="0"/>
    <d v="2017-02-07T00:00:00"/>
    <x v="5"/>
    <s v="Facilities/Engineering"/>
    <x v="3"/>
    <s v="North"/>
    <n v="822"/>
    <n v="9864"/>
    <n v="5"/>
    <n v="6"/>
    <n v="0"/>
    <n v="1"/>
  </r>
  <r>
    <x v="150"/>
    <s v="Amjad"/>
    <s v="Naghnagh"/>
    <x v="0"/>
    <d v="2020-10-14T00:00:00"/>
    <x v="1"/>
    <s v="Manufacturing"/>
    <x v="0"/>
    <s v="South"/>
    <n v="1442"/>
    <n v="17304"/>
    <n v="5"/>
    <n v="2"/>
    <n v="1"/>
    <n v="23"/>
  </r>
  <r>
    <x v="151"/>
    <s v="Iin"/>
    <s v="Qisi"/>
    <x v="1"/>
    <d v="2019-11-11T00:00:00"/>
    <x v="4"/>
    <s v="IT"/>
    <x v="0"/>
    <s v="West"/>
    <n v="887"/>
    <n v="10644"/>
    <n v="4.5"/>
    <n v="0"/>
    <n v="0"/>
    <n v="54"/>
  </r>
  <r>
    <x v="152"/>
    <s v="Basmah"/>
    <s v="Alhabis"/>
    <x v="1"/>
    <d v="2017-02-26T00:00:00"/>
    <x v="5"/>
    <s v="Manufacturing"/>
    <x v="0"/>
    <s v="North"/>
    <n v="1671"/>
    <n v="20052"/>
    <n v="2"/>
    <n v="0"/>
    <n v="0"/>
    <n v="3"/>
  </r>
  <r>
    <x v="153"/>
    <s v="Eala"/>
    <s v="Dahbur"/>
    <x v="1"/>
    <d v="2019-03-27T00:00:00"/>
    <x v="4"/>
    <s v="Account Management"/>
    <x v="2"/>
    <s v="Main"/>
    <n v="1877"/>
    <n v="22524"/>
    <n v="4.5"/>
    <n v="1"/>
    <n v="0"/>
    <n v="0"/>
  </r>
  <r>
    <x v="154"/>
    <s v="Rwbyna"/>
    <s v="Iibrahim"/>
    <x v="1"/>
    <d v="2019-03-05T00:00:00"/>
    <x v="4"/>
    <s v="IT"/>
    <x v="2"/>
    <s v="North"/>
    <n v="1960"/>
    <n v="23520"/>
    <n v="2"/>
    <n v="0"/>
    <n v="0"/>
    <n v="8"/>
  </r>
  <r>
    <x v="155"/>
    <s v="Tariq"/>
    <s v="Salim"/>
    <x v="0"/>
    <d v="2018-07-19T00:00:00"/>
    <x v="0"/>
    <s v="Manufacturing"/>
    <x v="2"/>
    <s v="Main"/>
    <n v="2422"/>
    <n v="29064"/>
    <n v="4.5"/>
    <n v="0"/>
    <n v="2"/>
    <n v="10"/>
  </r>
  <r>
    <x v="156"/>
    <s v="Basimah"/>
    <s v="Sybea"/>
    <x v="1"/>
    <d v="2019-08-06T00:00:00"/>
    <x v="4"/>
    <s v="Manufacturing"/>
    <x v="1"/>
    <s v="Main"/>
    <n v="1299"/>
    <n v="15588"/>
    <n v="5"/>
    <n v="0"/>
    <n v="0"/>
    <n v="8"/>
  </r>
  <r>
    <x v="157"/>
    <s v="Zunar"/>
    <s v="Eali"/>
    <x v="0"/>
    <d v="2020-03-18T00:00:00"/>
    <x v="1"/>
    <s v="Major Mfg Projects"/>
    <x v="0"/>
    <s v="South"/>
    <n v="2127"/>
    <n v="25524"/>
    <n v="5"/>
    <n v="0"/>
    <n v="0"/>
    <n v="3"/>
  </r>
  <r>
    <x v="158"/>
    <s v="Rim"/>
    <s v="Mia"/>
    <x v="1"/>
    <d v="2019-07-07T00:00:00"/>
    <x v="4"/>
    <s v="Quality Control"/>
    <x v="0"/>
    <s v="North"/>
    <n v="3096"/>
    <n v="37152"/>
    <n v="2"/>
    <n v="5"/>
    <n v="0"/>
    <n v="9"/>
  </r>
  <r>
    <x v="159"/>
    <s v="Lana"/>
    <s v="Alhabash"/>
    <x v="1"/>
    <d v="2016-02-05T00:00:00"/>
    <x v="3"/>
    <s v="Manufacturing"/>
    <x v="0"/>
    <s v="West"/>
    <n v="951"/>
    <n v="11412"/>
    <n v="1"/>
    <n v="6"/>
    <n v="0"/>
    <n v="8"/>
  </r>
  <r>
    <x v="160"/>
    <s v="Muhamad"/>
    <s v="Alshghry"/>
    <x v="0"/>
    <d v="2020-05-16T00:00:00"/>
    <x v="1"/>
    <s v="Manufacturing"/>
    <x v="0"/>
    <s v="North"/>
    <n v="2940"/>
    <n v="35280"/>
    <n v="1"/>
    <n v="6"/>
    <n v="0"/>
    <n v="13"/>
  </r>
  <r>
    <x v="161"/>
    <s v="Ghazal"/>
    <s v="Hisan"/>
    <x v="1"/>
    <d v="2020-09-28T00:00:00"/>
    <x v="1"/>
    <s v="Facilities/Engineering"/>
    <x v="1"/>
    <s v="Main"/>
    <n v="3293"/>
    <n v="39516"/>
    <n v="4.5"/>
    <n v="1"/>
    <n v="6"/>
    <n v="9"/>
  </r>
  <r>
    <x v="162"/>
    <s v="Khalil"/>
    <s v="Alzaebii"/>
    <x v="0"/>
    <d v="2017-04-15T00:00:00"/>
    <x v="2"/>
    <s v="Marketing"/>
    <x v="2"/>
    <s v="North"/>
    <n v="3250"/>
    <n v="39000"/>
    <n v="2"/>
    <n v="1"/>
    <n v="0"/>
    <n v="8"/>
  </r>
  <r>
    <x v="163"/>
    <s v="Samir"/>
    <s v="Shalish"/>
    <x v="0"/>
    <d v="2018-10-12T00:00:00"/>
    <x v="0"/>
    <s v="Account Management"/>
    <x v="0"/>
    <s v="Main"/>
    <n v="2085"/>
    <n v="25020"/>
    <n v="3"/>
    <n v="1"/>
    <n v="0"/>
    <n v="9"/>
  </r>
  <r>
    <x v="164"/>
    <s v="Abdalmjid"/>
    <s v="Ahmad"/>
    <x v="0"/>
    <d v="2019-06-22T00:00:00"/>
    <x v="4"/>
    <s v="Manufacturing"/>
    <x v="4"/>
    <s v="Main"/>
    <n v="1578"/>
    <n v="18936"/>
    <n v="3"/>
    <n v="0"/>
    <n v="0"/>
    <n v="15"/>
  </r>
  <r>
    <x v="165"/>
    <s v="Emar"/>
    <s v="Abil"/>
    <x v="1"/>
    <d v="2019-09-17T00:00:00"/>
    <x v="4"/>
    <s v="Account Management"/>
    <x v="2"/>
    <s v="Main"/>
    <n v="1169"/>
    <n v="14028"/>
    <n v="3"/>
    <n v="1"/>
    <n v="0"/>
    <n v="10"/>
  </r>
  <r>
    <x v="166"/>
    <s v="Lamia"/>
    <s v="Warur"/>
    <x v="1"/>
    <d v="2017-07-11T00:00:00"/>
    <x v="2"/>
    <s v="Account Management"/>
    <x v="1"/>
    <s v="South"/>
    <n v="1054"/>
    <n v="12648"/>
    <n v="5"/>
    <n v="4"/>
    <n v="6"/>
    <n v="7"/>
  </r>
  <r>
    <x v="167"/>
    <s v="Fyfian"/>
    <s v="Abu"/>
    <x v="1"/>
    <d v="2019-08-03T00:00:00"/>
    <x v="4"/>
    <s v="Account Management"/>
    <x v="0"/>
    <s v="Main"/>
    <n v="1349"/>
    <n v="16188"/>
    <n v="4.5"/>
    <n v="1"/>
    <n v="0"/>
    <n v="4"/>
  </r>
  <r>
    <x v="168"/>
    <s v="Majd"/>
    <s v="Yasin"/>
    <x v="1"/>
    <d v="2019-04-16T00:00:00"/>
    <x v="4"/>
    <s v="Quality Control"/>
    <x v="2"/>
    <s v="South"/>
    <n v="2196"/>
    <n v="26352"/>
    <n v="5"/>
    <n v="4"/>
    <n v="0"/>
    <n v="9"/>
  </r>
  <r>
    <x v="169"/>
    <s v="Alaa"/>
    <s v="Almisri"/>
    <x v="1"/>
    <d v="2020-01-16T00:00:00"/>
    <x v="4"/>
    <s v="Quality Assurance"/>
    <x v="0"/>
    <s v="Main"/>
    <n v="3264"/>
    <n v="39168"/>
    <n v="5"/>
    <n v="6"/>
    <n v="5"/>
    <n v="4"/>
  </r>
  <r>
    <x v="170"/>
    <s v="Muhamad"/>
    <s v="Amir"/>
    <x v="0"/>
    <d v="2017-07-26T00:00:00"/>
    <x v="2"/>
    <s v="Quality Control"/>
    <x v="2"/>
    <s v="North"/>
    <n v="1232"/>
    <n v="14784"/>
    <n v="5"/>
    <n v="4"/>
    <n v="5"/>
    <n v="2"/>
  </r>
  <r>
    <x v="171"/>
    <s v="Lilas"/>
    <s v="Balatah"/>
    <x v="1"/>
    <d v="2019-11-18T00:00:00"/>
    <x v="4"/>
    <s v="IT"/>
    <x v="0"/>
    <s v="Main"/>
    <n v="2401"/>
    <n v="28812"/>
    <n v="5"/>
    <n v="0"/>
    <n v="0"/>
    <n v="9"/>
  </r>
  <r>
    <x v="172"/>
    <s v="Ruaa"/>
    <s v="Mukiin"/>
    <x v="1"/>
    <d v="2017-09-16T00:00:00"/>
    <x v="2"/>
    <s v="Manufacturing"/>
    <x v="1"/>
    <s v="Main"/>
    <n v="3168"/>
    <n v="38016"/>
    <n v="5"/>
    <n v="0"/>
    <n v="0"/>
    <n v="18"/>
  </r>
  <r>
    <x v="173"/>
    <s v="Rana"/>
    <s v="Shaeban"/>
    <x v="1"/>
    <d v="2018-02-17T00:00:00"/>
    <x v="2"/>
    <s v="Quality Assurance"/>
    <x v="0"/>
    <s v="Main"/>
    <n v="1620"/>
    <n v="19440"/>
    <n v="5"/>
    <n v="5"/>
    <n v="0"/>
    <n v="10"/>
  </r>
  <r>
    <x v="174"/>
    <s v="Muwmin"/>
    <s v="Ewad"/>
    <x v="0"/>
    <d v="2017-06-06T00:00:00"/>
    <x v="2"/>
    <s v="Quality Control"/>
    <x v="2"/>
    <s v="Main"/>
    <n v="1482"/>
    <n v="17784"/>
    <n v="5"/>
    <n v="0"/>
    <n v="0"/>
    <n v="3"/>
  </r>
  <r>
    <x v="175"/>
    <s v="Rahaf"/>
    <s v="Alaleppoy"/>
    <x v="1"/>
    <d v="2020-04-18T00:00:00"/>
    <x v="1"/>
    <s v="Account Management"/>
    <x v="0"/>
    <s v="Main"/>
    <n v="1967"/>
    <n v="23604"/>
    <n v="4.5"/>
    <n v="6"/>
    <n v="0"/>
    <n v="6"/>
  </r>
  <r>
    <x v="176"/>
    <s v="Samiah"/>
    <s v="Alsaedi"/>
    <x v="1"/>
    <d v="2018-03-16T00:00:00"/>
    <x v="0"/>
    <s v="Manufacturing"/>
    <x v="0"/>
    <s v="Main"/>
    <n v="1696"/>
    <n v="20352"/>
    <n v="5"/>
    <n v="0"/>
    <n v="0"/>
    <n v="5"/>
  </r>
  <r>
    <x v="177"/>
    <s v="Rim"/>
    <s v="Hamdu"/>
    <x v="1"/>
    <d v="2018-12-24T00:00:00"/>
    <x v="0"/>
    <s v="Facilities/Engineering"/>
    <x v="0"/>
    <s v="South"/>
    <n v="2913"/>
    <n v="34956"/>
    <n v="4.5"/>
    <n v="0"/>
    <n v="0"/>
    <n v="3"/>
  </r>
  <r>
    <x v="178"/>
    <s v="Aishah"/>
    <s v="Alquatliu"/>
    <x v="1"/>
    <d v="2020-03-07T00:00:00"/>
    <x v="1"/>
    <s v="Quality Assurance"/>
    <x v="4"/>
    <s v="South"/>
    <n v="2068"/>
    <n v="24816"/>
    <n v="1"/>
    <n v="0"/>
    <n v="1"/>
    <n v="0"/>
  </r>
  <r>
    <x v="179"/>
    <s v="Dany"/>
    <s v="Albaba"/>
    <x v="0"/>
    <d v="2018-10-25T00:00:00"/>
    <x v="0"/>
    <s v="Environmental Health/Safety"/>
    <x v="2"/>
    <s v="North"/>
    <n v="1430"/>
    <n v="17160"/>
    <n v="3"/>
    <n v="6"/>
    <n v="0"/>
    <n v="0"/>
  </r>
  <r>
    <x v="180"/>
    <s v="Muhamad"/>
    <s v="Rinkusi"/>
    <x v="0"/>
    <d v="2018-05-30T00:00:00"/>
    <x v="0"/>
    <s v="Account Management"/>
    <x v="1"/>
    <s v="North"/>
    <n v="3138"/>
    <n v="37656"/>
    <n v="1"/>
    <n v="0"/>
    <n v="5"/>
    <n v="9"/>
  </r>
  <r>
    <x v="181"/>
    <s v="Isam"/>
    <s v="Jadid"/>
    <x v="0"/>
    <d v="2020-12-04T00:00:00"/>
    <x v="1"/>
    <s v="Manufacturing"/>
    <x v="0"/>
    <s v="Main"/>
    <n v="2051"/>
    <n v="24612"/>
    <n v="3"/>
    <n v="0"/>
    <n v="0"/>
    <n v="2"/>
  </r>
  <r>
    <x v="182"/>
    <s v="Bushraa"/>
    <s v="Drwysh"/>
    <x v="1"/>
    <d v="2018-09-08T00:00:00"/>
    <x v="0"/>
    <s v="Facilities/Engineering"/>
    <x v="0"/>
    <s v="North"/>
    <n v="2986"/>
    <n v="35832"/>
    <n v="1"/>
    <n v="3"/>
    <n v="0"/>
    <n v="8"/>
  </r>
  <r>
    <x v="183"/>
    <s v="Zakarian"/>
    <s v="Rashwani"/>
    <x v="0"/>
    <d v="2019-02-28T00:00:00"/>
    <x v="4"/>
    <s v="Manufacturing"/>
    <x v="3"/>
    <s v="Main"/>
    <n v="2790"/>
    <n v="33480"/>
    <n v="5"/>
    <n v="6"/>
    <n v="0"/>
    <n v="3"/>
  </r>
  <r>
    <x v="184"/>
    <s v="Fadi"/>
    <s v="Alqadi"/>
    <x v="0"/>
    <d v="2020-12-17T00:00:00"/>
    <x v="1"/>
    <s v="Facilities/Engineering"/>
    <x v="0"/>
    <s v="Main"/>
    <n v="1075"/>
    <n v="12900"/>
    <n v="4.5"/>
    <n v="6"/>
    <n v="0"/>
    <n v="7"/>
  </r>
  <r>
    <x v="185"/>
    <s v="Diea"/>
    <s v="Almarstani"/>
    <x v="0"/>
    <d v="2019-05-07T00:00:00"/>
    <x v="4"/>
    <s v="Sales"/>
    <x v="3"/>
    <s v="Main"/>
    <n v="2009"/>
    <n v="24108"/>
    <n v="1"/>
    <n v="5"/>
    <n v="0"/>
    <n v="0"/>
  </r>
  <r>
    <x v="186"/>
    <s v="Muhamad"/>
    <s v="Siedih"/>
    <x v="0"/>
    <d v="2018-08-03T00:00:00"/>
    <x v="0"/>
    <s v="Training"/>
    <x v="0"/>
    <s v="Main"/>
    <n v="3254"/>
    <n v="39048"/>
    <n v="3"/>
    <n v="4"/>
    <n v="6"/>
    <n v="5"/>
  </r>
  <r>
    <x v="187"/>
    <s v="Bisam"/>
    <s v="Almisri"/>
    <x v="1"/>
    <d v="2019-10-17T00:00:00"/>
    <x v="4"/>
    <s v="Creative"/>
    <x v="2"/>
    <s v="Main"/>
    <n v="2367"/>
    <n v="28404"/>
    <n v="3"/>
    <n v="0"/>
    <n v="0"/>
    <n v="1"/>
  </r>
  <r>
    <x v="188"/>
    <s v="Muhamad"/>
    <s v="Alkhatib"/>
    <x v="0"/>
    <d v="2018-02-02T00:00:00"/>
    <x v="2"/>
    <s v="Manufacturing"/>
    <x v="2"/>
    <s v="Main"/>
    <n v="3158"/>
    <n v="37896"/>
    <n v="3"/>
    <n v="2"/>
    <n v="5"/>
    <n v="10"/>
  </r>
  <r>
    <x v="189"/>
    <s v="Muhamad"/>
    <s v="Rghid"/>
    <x v="0"/>
    <d v="2019-12-27T00:00:00"/>
    <x v="4"/>
    <s v="Manufacturing"/>
    <x v="2"/>
    <s v="Main"/>
    <n v="1980"/>
    <n v="23760"/>
    <n v="2"/>
    <n v="0"/>
    <n v="0"/>
    <n v="2"/>
  </r>
  <r>
    <x v="190"/>
    <s v="Omar"/>
    <s v="Shakir"/>
    <x v="0"/>
    <d v="2019-04-07T00:00:00"/>
    <x v="4"/>
    <s v="Account Management"/>
    <x v="0"/>
    <s v="Main"/>
    <n v="2049"/>
    <n v="24588"/>
    <n v="3"/>
    <n v="6"/>
    <n v="0"/>
    <n v="23"/>
  </r>
  <r>
    <x v="191"/>
    <s v="Aryj"/>
    <s v="Hamada"/>
    <x v="1"/>
    <d v="2020-05-27T00:00:00"/>
    <x v="1"/>
    <s v="Quality Assurance"/>
    <x v="0"/>
    <s v="North"/>
    <n v="2727"/>
    <n v="32724"/>
    <n v="2"/>
    <n v="0"/>
    <n v="0"/>
    <n v="8"/>
  </r>
  <r>
    <x v="192"/>
    <s v="Madlin"/>
    <s v="Saeid"/>
    <x v="1"/>
    <d v="2019-12-07T00:00:00"/>
    <x v="4"/>
    <s v="Manufacturing"/>
    <x v="2"/>
    <s v="South"/>
    <n v="974"/>
    <n v="11688"/>
    <n v="5"/>
    <n v="0"/>
    <n v="0"/>
    <n v="9"/>
  </r>
  <r>
    <x v="193"/>
    <s v="Rybal"/>
    <s v="Sabagh"/>
    <x v="0"/>
    <d v="2019-11-06T00:00:00"/>
    <x v="4"/>
    <s v="Product Development"/>
    <x v="2"/>
    <s v="North"/>
    <n v="992"/>
    <n v="11904"/>
    <n v="5"/>
    <n v="0"/>
    <n v="0"/>
    <n v="3"/>
  </r>
  <r>
    <x v="194"/>
    <s v="Samar"/>
    <s v="Alqutb"/>
    <x v="1"/>
    <d v="2018-08-17T00:00:00"/>
    <x v="0"/>
    <s v="Account Management"/>
    <x v="0"/>
    <s v="West"/>
    <n v="2730"/>
    <n v="32760"/>
    <n v="1"/>
    <n v="4"/>
    <n v="6"/>
    <n v="9"/>
  </r>
  <r>
    <x v="195"/>
    <s v="Eala"/>
    <s v="Murad"/>
    <x v="1"/>
    <d v="2016-01-18T00:00:00"/>
    <x v="3"/>
    <s v="Facilities/Engineering"/>
    <x v="0"/>
    <s v="West"/>
    <n v="2804"/>
    <n v="33648"/>
    <n v="4.5"/>
    <n v="0"/>
    <n v="0"/>
    <n v="4"/>
  </r>
  <r>
    <x v="196"/>
    <s v="Ahmad"/>
    <s v="Salih"/>
    <x v="0"/>
    <d v="2019-04-03T00:00:00"/>
    <x v="4"/>
    <s v="Quality Control"/>
    <x v="0"/>
    <s v="Main"/>
    <n v="1467"/>
    <n v="17604"/>
    <n v="5"/>
    <n v="6"/>
    <n v="0"/>
    <n v="0"/>
  </r>
  <r>
    <x v="197"/>
    <s v="Ibrahim"/>
    <s v="Alhamid"/>
    <x v="0"/>
    <d v="2020-11-06T00:00:00"/>
    <x v="1"/>
    <s v="Major Mfg Projects"/>
    <x v="4"/>
    <s v="West"/>
    <n v="997"/>
    <n v="11964"/>
    <n v="5"/>
    <n v="1"/>
    <n v="0"/>
    <n v="68"/>
  </r>
  <r>
    <x v="198"/>
    <s v="Muhamad"/>
    <s v="Alziyat"/>
    <x v="0"/>
    <d v="2019-08-28T00:00:00"/>
    <x v="4"/>
    <s v="Account Management"/>
    <x v="1"/>
    <s v="West"/>
    <n v="1859"/>
    <n v="22308"/>
    <n v="5"/>
    <n v="5"/>
    <n v="0"/>
    <n v="1"/>
  </r>
  <r>
    <x v="199"/>
    <s v="Ali"/>
    <s v="Nhl"/>
    <x v="0"/>
    <d v="2019-09-03T00:00:00"/>
    <x v="4"/>
    <s v="Quality Assurance"/>
    <x v="0"/>
    <s v="North"/>
    <n v="1231"/>
    <n v="14772"/>
    <n v="1"/>
    <n v="1"/>
    <n v="5"/>
    <n v="7"/>
  </r>
  <r>
    <x v="200"/>
    <s v="Saed"/>
    <s v="Alsiyah"/>
    <x v="0"/>
    <d v="2019-07-19T00:00:00"/>
    <x v="4"/>
    <s v="Manufacturing"/>
    <x v="0"/>
    <s v="Main"/>
    <n v="719"/>
    <n v="8628"/>
    <n v="5"/>
    <n v="0"/>
    <n v="0"/>
    <n v="8"/>
  </r>
  <r>
    <x v="201"/>
    <s v="Majdy"/>
    <s v="Rafaea"/>
    <x v="0"/>
    <d v="2020-05-31T00:00:00"/>
    <x v="1"/>
    <s v="Environmental Compliance"/>
    <x v="2"/>
    <s v="Main"/>
    <n v="2186"/>
    <n v="26232"/>
    <n v="1"/>
    <n v="2"/>
    <n v="0"/>
    <n v="10"/>
  </r>
  <r>
    <x v="202"/>
    <s v="Ihsan"/>
    <s v="Eazu"/>
    <x v="0"/>
    <d v="2019-05-18T00:00:00"/>
    <x v="4"/>
    <s v="Professional Training Group"/>
    <x v="0"/>
    <s v="West"/>
    <n v="1605"/>
    <n v="19260"/>
    <n v="4.5"/>
    <n v="5"/>
    <n v="4"/>
    <n v="9"/>
  </r>
  <r>
    <x v="203"/>
    <s v="Iad"/>
    <s v="Alshaykh"/>
    <x v="0"/>
    <d v="2018-05-17T00:00:00"/>
    <x v="0"/>
    <s v="Facilities/Engineering"/>
    <x v="0"/>
    <s v="Main"/>
    <n v="2365"/>
    <n v="28380"/>
    <n v="1"/>
    <n v="0"/>
    <n v="0"/>
    <n v="73"/>
  </r>
  <r>
    <x v="204"/>
    <s v="Bara"/>
    <s v="Alrrashid"/>
    <x v="0"/>
    <d v="2017-04-17T00:00:00"/>
    <x v="2"/>
    <s v="Research Center"/>
    <x v="3"/>
    <s v="Main"/>
    <n v="1096"/>
    <n v="13152"/>
    <n v="4.5"/>
    <n v="4"/>
    <n v="0"/>
    <n v="8"/>
  </r>
  <r>
    <x v="205"/>
    <s v="Fadi"/>
    <s v="Nuna"/>
    <x v="0"/>
    <d v="2019-07-08T00:00:00"/>
    <x v="4"/>
    <s v="Facilities/Engineering"/>
    <x v="0"/>
    <s v="North"/>
    <n v="1037"/>
    <n v="12444"/>
    <n v="3"/>
    <n v="6"/>
    <n v="0"/>
    <n v="5"/>
  </r>
  <r>
    <x v="206"/>
    <s v="Muhamad"/>
    <s v="Salah"/>
    <x v="0"/>
    <d v="2020-12-03T00:00:00"/>
    <x v="1"/>
    <s v="Facilities/Engineering"/>
    <x v="3"/>
    <s v="West"/>
    <n v="1757"/>
    <n v="21084"/>
    <n v="2"/>
    <n v="6"/>
    <n v="0"/>
    <n v="13"/>
  </r>
  <r>
    <x v="207"/>
    <s v="Bima"/>
    <s v="Mustafaa"/>
    <x v="1"/>
    <d v="2020-11-03T00:00:00"/>
    <x v="1"/>
    <s v="Quality Assurance"/>
    <x v="0"/>
    <s v="Main"/>
    <n v="3405"/>
    <n v="40860"/>
    <n v="5"/>
    <n v="0"/>
    <n v="0"/>
    <n v="1"/>
  </r>
  <r>
    <x v="208"/>
    <s v="Husam"/>
    <s v="Abu Shwmr"/>
    <x v="0"/>
    <d v="2018-06-11T00:00:00"/>
    <x v="0"/>
    <s v="Account Management"/>
    <x v="2"/>
    <s v="West"/>
    <n v="2154"/>
    <n v="25848"/>
    <n v="5"/>
    <n v="0"/>
    <n v="0"/>
    <n v="0"/>
  </r>
  <r>
    <x v="209"/>
    <s v="Abdalrahmin"/>
    <s v="Turkmany"/>
    <x v="0"/>
    <d v="2019-02-12T00:00:00"/>
    <x v="0"/>
    <s v="Marketing"/>
    <x v="0"/>
    <s v="Main"/>
    <n v="805"/>
    <n v="9660"/>
    <n v="2"/>
    <n v="0"/>
    <n v="0"/>
    <n v="6"/>
  </r>
  <r>
    <x v="210"/>
    <s v="Majdulyn"/>
    <s v="Alhakim"/>
    <x v="1"/>
    <d v="2018-10-03T00:00:00"/>
    <x v="0"/>
    <s v="Human Resources"/>
    <x v="0"/>
    <s v="Main"/>
    <n v="3093"/>
    <n v="37116"/>
    <n v="4.5"/>
    <n v="0"/>
    <n v="0"/>
    <n v="10"/>
  </r>
  <r>
    <x v="211"/>
    <s v="Ahmad"/>
    <s v="Abu Jaysh"/>
    <x v="0"/>
    <d v="2017-08-10T00:00:00"/>
    <x v="2"/>
    <s v="Creative"/>
    <x v="1"/>
    <s v="West"/>
    <n v="1039"/>
    <n v="12468"/>
    <n v="3"/>
    <n v="2"/>
    <n v="0"/>
    <n v="87"/>
  </r>
  <r>
    <x v="212"/>
    <s v="Majid"/>
    <s v="Aleusud"/>
    <x v="0"/>
    <d v="2019-11-23T00:00:00"/>
    <x v="4"/>
    <s v="Account Management"/>
    <x v="0"/>
    <s v="West"/>
    <n v="1012"/>
    <n v="12144"/>
    <n v="3"/>
    <n v="1"/>
    <n v="0"/>
    <n v="7"/>
  </r>
  <r>
    <x v="213"/>
    <s v="Bashshar"/>
    <s v="Shakhashiru"/>
    <x v="0"/>
    <d v="2017-06-13T00:00:00"/>
    <x v="2"/>
    <s v="Sales"/>
    <x v="0"/>
    <s v="Main"/>
    <n v="2216"/>
    <n v="26592"/>
    <n v="2"/>
    <n v="0"/>
    <n v="0"/>
    <n v="11"/>
  </r>
  <r>
    <x v="214"/>
    <s v="Malik"/>
    <s v="Alshaykh"/>
    <x v="0"/>
    <d v="2020-11-28T00:00:00"/>
    <x v="1"/>
    <s v="Quality Assurance"/>
    <x v="0"/>
    <s v="South"/>
    <n v="2020"/>
    <n v="24240"/>
    <n v="4.5"/>
    <n v="0"/>
    <n v="5"/>
    <n v="0"/>
  </r>
  <r>
    <x v="215"/>
    <s v="Omar"/>
    <s v="Zarzur"/>
    <x v="0"/>
    <d v="2016-11-06T00:00:00"/>
    <x v="5"/>
    <s v="Product Development"/>
    <x v="2"/>
    <s v="North"/>
    <n v="3309"/>
    <n v="39708"/>
    <n v="4.5"/>
    <n v="1"/>
    <n v="0"/>
    <n v="7"/>
  </r>
  <r>
    <x v="216"/>
    <s v="Hasan"/>
    <s v="Iismaeil"/>
    <x v="0"/>
    <d v="2020-05-05T00:00:00"/>
    <x v="1"/>
    <s v="Account Management"/>
    <x v="2"/>
    <s v="North"/>
    <n v="983"/>
    <n v="11796"/>
    <n v="2"/>
    <n v="6"/>
    <n v="0"/>
    <n v="0"/>
  </r>
  <r>
    <x v="217"/>
    <s v="Husayn"/>
    <s v="Abu Nasir"/>
    <x v="0"/>
    <d v="2018-03-25T00:00:00"/>
    <x v="0"/>
    <s v="Manufacturing"/>
    <x v="0"/>
    <s v="Main"/>
    <n v="741"/>
    <n v="8892"/>
    <n v="3"/>
    <n v="0"/>
    <n v="0"/>
    <n v="1"/>
  </r>
  <r>
    <x v="218"/>
    <s v="Mazin"/>
    <s v="Earabi"/>
    <x v="0"/>
    <d v="2016-09-13T00:00:00"/>
    <x v="5"/>
    <s v="Account Management"/>
    <x v="2"/>
    <s v="Main"/>
    <n v="1171"/>
    <n v="14052"/>
    <n v="4.5"/>
    <n v="0"/>
    <n v="0"/>
    <n v="0"/>
  </r>
  <r>
    <x v="219"/>
    <s v="Zahir"/>
    <s v="Eisaa"/>
    <x v="0"/>
    <d v="2019-12-18T00:00:00"/>
    <x v="4"/>
    <s v="Quality Assurance"/>
    <x v="0"/>
    <s v="North"/>
    <n v="2512"/>
    <n v="30144"/>
    <n v="5"/>
    <n v="6"/>
    <n v="0"/>
    <n v="10"/>
  </r>
  <r>
    <x v="220"/>
    <s v="Lama"/>
    <s v="Sabiq"/>
    <x v="1"/>
    <d v="2019-03-29T00:00:00"/>
    <x v="4"/>
    <s v="Quality Control"/>
    <x v="0"/>
    <s v="West"/>
    <n v="1608"/>
    <n v="19296"/>
    <n v="1"/>
    <n v="0"/>
    <n v="3"/>
    <n v="4"/>
  </r>
  <r>
    <x v="221"/>
    <s v="Tariq"/>
    <s v="Dw"/>
    <x v="0"/>
    <d v="2020-04-24T00:00:00"/>
    <x v="1"/>
    <s v="Quality Assurance"/>
    <x v="2"/>
    <s v="North"/>
    <n v="1677"/>
    <n v="20124"/>
    <n v="1"/>
    <n v="0"/>
    <n v="0"/>
    <n v="12"/>
  </r>
  <r>
    <x v="222"/>
    <s v="Jawaher"/>
    <s v="Shaykhus"/>
    <x v="1"/>
    <d v="2018-04-25T00:00:00"/>
    <x v="0"/>
    <s v="Quality Assurance"/>
    <x v="0"/>
    <s v="West"/>
    <n v="3414"/>
    <n v="40968"/>
    <n v="5"/>
    <n v="0"/>
    <n v="0"/>
    <n v="2"/>
  </r>
  <r>
    <x v="223"/>
    <s v="Emam"/>
    <s v="Mansur"/>
    <x v="0"/>
    <d v="2019-03-29T00:00:00"/>
    <x v="4"/>
    <s v="Quality Assurance"/>
    <x v="4"/>
    <s v="Main"/>
    <n v="1358"/>
    <n v="16296"/>
    <n v="5"/>
    <n v="0"/>
    <n v="0"/>
    <n v="10"/>
  </r>
  <r>
    <x v="224"/>
    <s v="Muhamad"/>
    <s v="Bulta"/>
    <x v="0"/>
    <d v="2019-08-17T00:00:00"/>
    <x v="4"/>
    <s v="Account Management"/>
    <x v="0"/>
    <s v="South"/>
    <n v="703"/>
    <n v="8436"/>
    <n v="4.5"/>
    <n v="0"/>
    <n v="0"/>
    <n v="64"/>
  </r>
  <r>
    <x v="225"/>
    <s v="Fatin"/>
    <s v="Hamshu"/>
    <x v="1"/>
    <d v="2018-12-09T00:00:00"/>
    <x v="0"/>
    <s v="Product Development"/>
    <x v="0"/>
    <s v="Main"/>
    <n v="2017"/>
    <n v="24204"/>
    <n v="2"/>
    <n v="0"/>
    <n v="1"/>
    <n v="8"/>
  </r>
  <r>
    <x v="226"/>
    <s v="Abd Alruhmin"/>
    <s v="Alnasar"/>
    <x v="0"/>
    <d v="2019-08-10T00:00:00"/>
    <x v="4"/>
    <s v="Product Development"/>
    <x v="0"/>
    <s v="Main"/>
    <n v="1806"/>
    <n v="21672"/>
    <n v="5"/>
    <n v="0"/>
    <n v="0"/>
    <n v="7"/>
  </r>
  <r>
    <x v="227"/>
    <s v="Fatin"/>
    <s v="Red"/>
    <x v="1"/>
    <d v="2019-07-17T00:00:00"/>
    <x v="4"/>
    <s v="Creative"/>
    <x v="0"/>
    <s v="North"/>
    <n v="2421"/>
    <n v="29052"/>
    <n v="3"/>
    <n v="6"/>
    <n v="0"/>
    <n v="16"/>
  </r>
  <r>
    <x v="228"/>
    <s v="Ali"/>
    <s v="Muhamad"/>
    <x v="0"/>
    <d v="2018-06-05T00:00:00"/>
    <x v="0"/>
    <s v="Marketing"/>
    <x v="2"/>
    <s v="North"/>
    <n v="1461"/>
    <n v="17532"/>
    <n v="5"/>
    <n v="1"/>
    <n v="0"/>
    <n v="7"/>
  </r>
  <r>
    <x v="229"/>
    <s v="Rima"/>
    <s v="Dwalyby"/>
    <x v="1"/>
    <d v="2020-10-02T00:00:00"/>
    <x v="1"/>
    <s v="Manufacturing"/>
    <x v="0"/>
    <s v="South"/>
    <n v="1287"/>
    <n v="15444"/>
    <n v="1"/>
    <n v="0"/>
    <n v="0"/>
    <n v="7"/>
  </r>
  <r>
    <x v="230"/>
    <s v="Basil"/>
    <s v="Musaa"/>
    <x v="0"/>
    <d v="2018-05-24T00:00:00"/>
    <x v="0"/>
    <s v="Manufacturing"/>
    <x v="0"/>
    <s v="Main"/>
    <n v="2756"/>
    <n v="33072"/>
    <n v="3"/>
    <n v="2"/>
    <n v="0"/>
    <n v="4"/>
  </r>
  <r>
    <x v="231"/>
    <s v="Antuan"/>
    <s v="Litansdurfr"/>
    <x v="0"/>
    <d v="2019-01-09T00:00:00"/>
    <x v="0"/>
    <s v="Quality Control"/>
    <x v="0"/>
    <s v="Main"/>
    <n v="2332"/>
    <n v="27984"/>
    <n v="5"/>
    <n v="0"/>
    <n v="0"/>
    <n v="2"/>
  </r>
  <r>
    <x v="232"/>
    <s v="Rashad"/>
    <s v="Iidris"/>
    <x v="0"/>
    <d v="2019-11-26T00:00:00"/>
    <x v="4"/>
    <s v="Training"/>
    <x v="0"/>
    <s v="Main"/>
    <n v="812"/>
    <n v="9744"/>
    <n v="3"/>
    <n v="0"/>
    <n v="0"/>
    <n v="10"/>
  </r>
  <r>
    <x v="233"/>
    <s v="Bidralidin"/>
    <s v="Ahmdghrybw"/>
    <x v="0"/>
    <d v="2020-09-29T00:00:00"/>
    <x v="1"/>
    <s v="Manufacturing"/>
    <x v="0"/>
    <s v="North"/>
    <n v="2651"/>
    <n v="31812"/>
    <n v="1"/>
    <n v="0"/>
    <n v="0"/>
    <n v="12"/>
  </r>
  <r>
    <x v="234"/>
    <s v="Faras"/>
    <s v="Shaykh"/>
    <x v="0"/>
    <d v="2019-03-23T00:00:00"/>
    <x v="4"/>
    <s v="Sales"/>
    <x v="2"/>
    <s v="West"/>
    <n v="2331"/>
    <n v="27972"/>
    <n v="4.5"/>
    <n v="0"/>
    <n v="0"/>
    <n v="9"/>
  </r>
  <r>
    <x v="235"/>
    <s v="Muhamad"/>
    <s v="Eala Aldiyn"/>
    <x v="0"/>
    <d v="2019-12-27T00:00:00"/>
    <x v="4"/>
    <s v="Sales"/>
    <x v="1"/>
    <s v="North"/>
    <n v="2162"/>
    <n v="25944"/>
    <n v="5"/>
    <n v="0"/>
    <n v="0"/>
    <n v="13"/>
  </r>
  <r>
    <x v="236"/>
    <s v="Khaldun"/>
    <s v="Suqbani"/>
    <x v="0"/>
    <d v="2020-06-09T00:00:00"/>
    <x v="1"/>
    <s v="Manufacturing"/>
    <x v="0"/>
    <s v="North"/>
    <n v="1952"/>
    <n v="23424"/>
    <n v="3"/>
    <n v="1"/>
    <n v="1"/>
    <n v="34"/>
  </r>
  <r>
    <x v="237"/>
    <s v="Lwna"/>
    <s v="Albahra"/>
    <x v="1"/>
    <d v="2020-04-10T00:00:00"/>
    <x v="1"/>
    <s v="Product Development"/>
    <x v="0"/>
    <s v="North"/>
    <n v="2976"/>
    <n v="35712"/>
    <n v="4.5"/>
    <n v="0"/>
    <n v="2"/>
    <n v="6"/>
  </r>
  <r>
    <x v="238"/>
    <s v="Ahmad"/>
    <s v="Ezqul"/>
    <x v="0"/>
    <d v="2018-06-21T00:00:00"/>
    <x v="0"/>
    <s v="Manufacturing"/>
    <x v="1"/>
    <s v="Main"/>
    <n v="2080"/>
    <n v="24960"/>
    <n v="5"/>
    <n v="0"/>
    <n v="5"/>
    <n v="13"/>
  </r>
  <r>
    <x v="239"/>
    <s v="Salih"/>
    <s v="Alhamuwd"/>
    <x v="0"/>
    <d v="2018-11-27T00:00:00"/>
    <x v="0"/>
    <s v="Marketing"/>
    <x v="0"/>
    <s v="Main"/>
    <n v="1668"/>
    <n v="20016"/>
    <n v="4.5"/>
    <n v="0"/>
    <n v="3"/>
    <n v="3"/>
  </r>
  <r>
    <x v="240"/>
    <s v="Muhamad"/>
    <s v="Abu Zamil"/>
    <x v="0"/>
    <d v="2016-07-05T00:00:00"/>
    <x v="5"/>
    <s v="Marketing"/>
    <x v="0"/>
    <s v="Main"/>
    <n v="2234"/>
    <n v="26808"/>
    <n v="5"/>
    <n v="3"/>
    <n v="0"/>
    <n v="7"/>
  </r>
  <r>
    <x v="241"/>
    <s v="Fuad"/>
    <s v="Alsyqly"/>
    <x v="0"/>
    <d v="2019-10-27T00:00:00"/>
    <x v="4"/>
    <s v="Account Management"/>
    <x v="3"/>
    <s v="South"/>
    <n v="2096"/>
    <n v="25152"/>
    <n v="3"/>
    <n v="5"/>
    <n v="2"/>
    <n v="0"/>
  </r>
  <r>
    <x v="242"/>
    <s v="Muhamad"/>
    <s v="Aldamshqi"/>
    <x v="0"/>
    <d v="2019-05-27T00:00:00"/>
    <x v="4"/>
    <s v="Manufacturing"/>
    <x v="1"/>
    <s v="Main"/>
    <n v="2129"/>
    <n v="25548"/>
    <n v="3"/>
    <n v="1"/>
    <n v="1"/>
    <n v="3"/>
  </r>
  <r>
    <x v="243"/>
    <s v="Sayf Aldiyn"/>
    <s v="Alkmshh"/>
    <x v="0"/>
    <d v="2019-02-12T00:00:00"/>
    <x v="0"/>
    <s v="Manufacturing"/>
    <x v="1"/>
    <s v="Main"/>
    <n v="1429"/>
    <n v="17148"/>
    <n v="3"/>
    <n v="0"/>
    <n v="5"/>
    <n v="8"/>
  </r>
  <r>
    <x v="244"/>
    <s v="Muhamad"/>
    <s v="Alssati"/>
    <x v="0"/>
    <d v="2020-10-22T00:00:00"/>
    <x v="1"/>
    <s v="Manufacturing"/>
    <x v="2"/>
    <s v="North"/>
    <n v="1479"/>
    <n v="17748"/>
    <n v="3"/>
    <n v="5"/>
    <n v="4"/>
    <n v="8"/>
  </r>
  <r>
    <x v="245"/>
    <s v="Khalid"/>
    <s v="Alem"/>
    <x v="0"/>
    <d v="2020-12-16T00:00:00"/>
    <x v="1"/>
    <s v="Quality Control"/>
    <x v="2"/>
    <s v="North"/>
    <n v="2884"/>
    <n v="34608"/>
    <n v="5"/>
    <n v="1"/>
    <n v="6"/>
    <n v="3"/>
  </r>
  <r>
    <x v="246"/>
    <s v="Ayham"/>
    <s v="Aleisaa"/>
    <x v="0"/>
    <d v="2020-12-02T00:00:00"/>
    <x v="1"/>
    <s v="Training"/>
    <x v="3"/>
    <s v="Main"/>
    <n v="2947"/>
    <n v="35364"/>
    <n v="3"/>
    <n v="5"/>
    <n v="0"/>
    <n v="1"/>
  </r>
  <r>
    <x v="247"/>
    <s v="Abd Alruhmin"/>
    <s v="Dulul"/>
    <x v="0"/>
    <d v="2018-06-24T00:00:00"/>
    <x v="0"/>
    <s v="Quality Control"/>
    <x v="0"/>
    <s v="North"/>
    <n v="1795"/>
    <n v="21540"/>
    <n v="1"/>
    <n v="0"/>
    <n v="0"/>
    <n v="4"/>
  </r>
  <r>
    <x v="248"/>
    <s v="Ruba"/>
    <s v="Aleid"/>
    <x v="1"/>
    <d v="2018-02-06T00:00:00"/>
    <x v="2"/>
    <s v="Account Management"/>
    <x v="0"/>
    <s v="West"/>
    <n v="1982"/>
    <n v="23784"/>
    <n v="5"/>
    <n v="1"/>
    <n v="0"/>
    <n v="7"/>
  </r>
  <r>
    <x v="249"/>
    <s v="Muhamad"/>
    <s v="Badawiin"/>
    <x v="0"/>
    <d v="2020-11-27T00:00:00"/>
    <x v="1"/>
    <s v="Account Management"/>
    <x v="0"/>
    <s v="South"/>
    <n v="2543"/>
    <n v="30516"/>
    <n v="5"/>
    <n v="0"/>
    <n v="0"/>
    <n v="86"/>
  </r>
  <r>
    <x v="250"/>
    <s v="Sharihan"/>
    <s v="Rihan"/>
    <x v="1"/>
    <d v="2020-02-08T00:00:00"/>
    <x v="4"/>
    <s v="Manufacturing"/>
    <x v="0"/>
    <s v="Main"/>
    <n v="2787"/>
    <n v="33444"/>
    <n v="3"/>
    <n v="3"/>
    <n v="0"/>
    <n v="12"/>
  </r>
  <r>
    <x v="251"/>
    <s v="Ibrahim"/>
    <s v="Alyasin"/>
    <x v="0"/>
    <d v="2020-02-04T00:00:00"/>
    <x v="4"/>
    <s v="Quality Assurance"/>
    <x v="0"/>
    <s v="North"/>
    <n v="1095"/>
    <n v="13140"/>
    <n v="5"/>
    <n v="6"/>
    <n v="0"/>
    <n v="5"/>
  </r>
  <r>
    <x v="252"/>
    <s v="Iin"/>
    <s v="Mulaliyun"/>
    <x v="1"/>
    <d v="2020-04-15T00:00:00"/>
    <x v="1"/>
    <s v="Manufacturing"/>
    <x v="1"/>
    <s v="Main"/>
    <n v="2009"/>
    <n v="24108"/>
    <n v="5"/>
    <n v="0"/>
    <n v="0"/>
    <n v="0"/>
  </r>
  <r>
    <x v="253"/>
    <s v="Danah"/>
    <s v="Almahdi"/>
    <x v="1"/>
    <d v="2016-07-06T00:00:00"/>
    <x v="5"/>
    <s v="Environmental Compliance"/>
    <x v="0"/>
    <s v="North"/>
    <n v="1837"/>
    <n v="22044"/>
    <n v="3"/>
    <n v="1"/>
    <n v="0"/>
    <n v="2"/>
  </r>
  <r>
    <x v="254"/>
    <s v="Muhamad"/>
    <s v="Sakar"/>
    <x v="0"/>
    <d v="2019-09-21T00:00:00"/>
    <x v="4"/>
    <s v="Training"/>
    <x v="1"/>
    <s v="Main"/>
    <n v="3109"/>
    <n v="37308"/>
    <n v="3"/>
    <n v="1"/>
    <n v="0"/>
    <n v="9"/>
  </r>
  <r>
    <x v="255"/>
    <s v="Lama"/>
    <s v="Yasin"/>
    <x v="1"/>
    <d v="2020-05-31T00:00:00"/>
    <x v="1"/>
    <s v="Manufacturing"/>
    <x v="0"/>
    <s v="Main"/>
    <n v="2832"/>
    <n v="33984"/>
    <n v="5"/>
    <n v="1"/>
    <n v="0"/>
    <n v="5"/>
  </r>
  <r>
    <x v="256"/>
    <s v="Asf"/>
    <s v="Abultif"/>
    <x v="0"/>
    <d v="2019-01-01T00:00:00"/>
    <x v="0"/>
    <s v="Manufacturing"/>
    <x v="0"/>
    <s v="Main"/>
    <n v="2940"/>
    <n v="35280"/>
    <n v="1"/>
    <n v="6"/>
    <n v="4"/>
    <n v="7"/>
  </r>
  <r>
    <x v="257"/>
    <s v="Ahmad"/>
    <s v="Alshalaq"/>
    <x v="0"/>
    <d v="2019-04-05T00:00:00"/>
    <x v="4"/>
    <s v="Product Development"/>
    <x v="3"/>
    <s v="North"/>
    <n v="983"/>
    <n v="11796"/>
    <n v="5"/>
    <n v="0"/>
    <n v="0"/>
    <n v="13"/>
  </r>
  <r>
    <x v="258"/>
    <s v="Mazin"/>
    <s v="Zawal"/>
    <x v="0"/>
    <d v="2020-04-20T00:00:00"/>
    <x v="1"/>
    <s v="IT"/>
    <x v="0"/>
    <s v="North"/>
    <n v="1223"/>
    <n v="14676"/>
    <n v="1"/>
    <n v="6"/>
    <n v="0"/>
    <n v="10"/>
  </r>
  <r>
    <x v="259"/>
    <s v="Diana"/>
    <s v="Aleabd"/>
    <x v="1"/>
    <d v="2020-07-13T00:00:00"/>
    <x v="1"/>
    <s v="Research/Development"/>
    <x v="0"/>
    <s v="North"/>
    <n v="833"/>
    <n v="9996"/>
    <n v="1"/>
    <n v="1"/>
    <n v="0"/>
    <n v="5"/>
  </r>
  <r>
    <x v="260"/>
    <s v="Kawkab"/>
    <s v="Qarqazan"/>
    <x v="1"/>
    <d v="2018-05-10T00:00:00"/>
    <x v="0"/>
    <s v="Quality Control"/>
    <x v="0"/>
    <s v="West"/>
    <n v="2074"/>
    <n v="24888"/>
    <n v="3"/>
    <n v="1"/>
    <n v="0"/>
    <n v="2"/>
  </r>
  <r>
    <x v="261"/>
    <s v="Thamir"/>
    <s v="Abu Ghazy"/>
    <x v="0"/>
    <d v="2018-03-12T00:00:00"/>
    <x v="0"/>
    <s v="Quality Control"/>
    <x v="2"/>
    <s v="South"/>
    <n v="2811"/>
    <n v="33732"/>
    <n v="3"/>
    <n v="0"/>
    <n v="1"/>
    <n v="9"/>
  </r>
  <r>
    <x v="262"/>
    <s v="Muhamad"/>
    <s v="Alabth"/>
    <x v="0"/>
    <d v="2019-09-23T00:00:00"/>
    <x v="4"/>
    <s v="Quality Control"/>
    <x v="1"/>
    <s v="North"/>
    <n v="1436"/>
    <n v="17232"/>
    <n v="4.5"/>
    <n v="3"/>
    <n v="4"/>
    <n v="4"/>
  </r>
  <r>
    <x v="263"/>
    <s v="Khadijah"/>
    <s v="Abu Taqih"/>
    <x v="1"/>
    <d v="2019-07-01T00:00:00"/>
    <x v="4"/>
    <s v="Manufacturing"/>
    <x v="0"/>
    <s v="North"/>
    <n v="1041"/>
    <n v="12492"/>
    <n v="2"/>
    <n v="2"/>
    <n v="0"/>
    <n v="5"/>
  </r>
  <r>
    <x v="264"/>
    <s v="Salwaa"/>
    <s v="Alsyd"/>
    <x v="1"/>
    <d v="2018-06-15T00:00:00"/>
    <x v="0"/>
    <s v="Quality Control"/>
    <x v="0"/>
    <s v="Main"/>
    <n v="2231"/>
    <n v="26772"/>
    <n v="3"/>
    <n v="0"/>
    <n v="0"/>
    <n v="87"/>
  </r>
  <r>
    <x v="265"/>
    <s v="Muayid"/>
    <s v="Shbyb"/>
    <x v="0"/>
    <d v="2019-02-16T00:00:00"/>
    <x v="0"/>
    <s v="Marketing"/>
    <x v="2"/>
    <s v="West"/>
    <n v="1036"/>
    <n v="12432"/>
    <n v="3"/>
    <n v="0"/>
    <n v="0"/>
    <n v="1"/>
  </r>
  <r>
    <x v="266"/>
    <s v="Rannym"/>
    <s v="Tyru"/>
    <x v="1"/>
    <d v="2020-10-15T00:00:00"/>
    <x v="1"/>
    <s v="Quality Control"/>
    <x v="0"/>
    <s v="North"/>
    <n v="2143"/>
    <n v="25716"/>
    <n v="5"/>
    <n v="0"/>
    <n v="0"/>
    <n v="45"/>
  </r>
  <r>
    <x v="267"/>
    <s v="Iin"/>
    <s v="Alhaju Bikr"/>
    <x v="1"/>
    <d v="2020-01-07T00:00:00"/>
    <x v="4"/>
    <s v="Quality Assurance"/>
    <x v="2"/>
    <s v="South"/>
    <n v="967"/>
    <n v="11604"/>
    <n v="5"/>
    <n v="0"/>
    <n v="4"/>
    <n v="9"/>
  </r>
  <r>
    <x v="268"/>
    <s v="Jihad"/>
    <s v="Aldukifi"/>
    <x v="0"/>
    <d v="2020-07-16T00:00:00"/>
    <x v="1"/>
    <s v="Product Development"/>
    <x v="0"/>
    <s v="South"/>
    <n v="2510"/>
    <n v="30120"/>
    <n v="1"/>
    <n v="0"/>
    <n v="0"/>
    <n v="3"/>
  </r>
  <r>
    <x v="269"/>
    <s v="Sandurana"/>
    <s v="Antun"/>
    <x v="1"/>
    <d v="2019-03-31T00:00:00"/>
    <x v="4"/>
    <s v="Marketing"/>
    <x v="0"/>
    <s v="Main"/>
    <n v="3364"/>
    <n v="40368"/>
    <n v="2"/>
    <n v="0"/>
    <n v="0"/>
    <n v="1"/>
  </r>
  <r>
    <x v="270"/>
    <s v="Eala"/>
    <s v="Darkzifli"/>
    <x v="1"/>
    <d v="2019-01-06T00:00:00"/>
    <x v="0"/>
    <s v="Quality Assurance"/>
    <x v="0"/>
    <s v="West"/>
    <n v="3420"/>
    <n v="41040"/>
    <n v="5"/>
    <n v="6"/>
    <n v="0"/>
    <n v="10"/>
  </r>
  <r>
    <x v="271"/>
    <s v="Samir"/>
    <s v="Alsaeid"/>
    <x v="0"/>
    <d v="2019-09-14T00:00:00"/>
    <x v="4"/>
    <s v="Creative"/>
    <x v="2"/>
    <s v="South"/>
    <n v="2229"/>
    <n v="26748"/>
    <n v="3"/>
    <n v="3"/>
    <n v="0"/>
    <n v="1"/>
  </r>
  <r>
    <x v="272"/>
    <s v="Amir"/>
    <s v="Alhifar"/>
    <x v="0"/>
    <d v="2020-05-27T00:00:00"/>
    <x v="1"/>
    <s v="Creative"/>
    <x v="0"/>
    <s v="West"/>
    <n v="1910"/>
    <n v="22920"/>
    <n v="5"/>
    <n v="2"/>
    <n v="0"/>
    <n v="5"/>
  </r>
  <r>
    <x v="273"/>
    <s v="Lama"/>
    <s v="Almala"/>
    <x v="1"/>
    <d v="2019-08-07T00:00:00"/>
    <x v="4"/>
    <s v="Training"/>
    <x v="0"/>
    <s v="North"/>
    <n v="1917"/>
    <n v="23004"/>
    <n v="4.5"/>
    <n v="0"/>
    <n v="1"/>
    <n v="84"/>
  </r>
  <r>
    <x v="274"/>
    <s v="Hasan"/>
    <s v="Kalthum"/>
    <x v="0"/>
    <d v="2018-12-20T00:00:00"/>
    <x v="0"/>
    <s v="Quality Control"/>
    <x v="0"/>
    <s v="North"/>
    <n v="831"/>
    <n v="9972"/>
    <n v="1"/>
    <n v="1"/>
    <n v="2"/>
    <n v="7"/>
  </r>
  <r>
    <x v="275"/>
    <s v="Muhamad"/>
    <s v="Saeadat"/>
    <x v="0"/>
    <d v="2019-07-06T00:00:00"/>
    <x v="4"/>
    <s v="Quality Control"/>
    <x v="2"/>
    <s v="Main"/>
    <n v="2636"/>
    <n v="31632"/>
    <n v="4.5"/>
    <n v="0"/>
    <n v="2"/>
    <n v="4"/>
  </r>
  <r>
    <x v="276"/>
    <s v="Rana"/>
    <s v="Eijrush"/>
    <x v="1"/>
    <d v="2018-09-05T00:00:00"/>
    <x v="0"/>
    <s v="Account Management"/>
    <x v="3"/>
    <s v="Main"/>
    <n v="2929"/>
    <n v="35148"/>
    <n v="2"/>
    <n v="0"/>
    <n v="1"/>
    <n v="4"/>
  </r>
  <r>
    <x v="277"/>
    <s v="Tariq"/>
    <s v="Alkinaya"/>
    <x v="0"/>
    <d v="2019-10-26T00:00:00"/>
    <x v="4"/>
    <s v="Quality Control"/>
    <x v="0"/>
    <s v="North"/>
    <n v="1255"/>
    <n v="15060"/>
    <n v="1"/>
    <n v="6"/>
    <n v="0"/>
    <n v="15"/>
  </r>
  <r>
    <x v="278"/>
    <s v="Amjad"/>
    <s v="Alrz"/>
    <x v="0"/>
    <d v="2020-04-12T00:00:00"/>
    <x v="1"/>
    <s v="Quality Control"/>
    <x v="2"/>
    <s v="Main"/>
    <n v="2210"/>
    <n v="26520"/>
    <n v="3"/>
    <n v="0"/>
    <n v="0"/>
    <n v="13"/>
  </r>
  <r>
    <x v="279"/>
    <s v="Daniah"/>
    <s v="Alhariri"/>
    <x v="1"/>
    <d v="2019-10-15T00:00:00"/>
    <x v="4"/>
    <s v="Quality Control"/>
    <x v="0"/>
    <s v="North"/>
    <n v="1788"/>
    <n v="21456"/>
    <n v="5"/>
    <n v="1"/>
    <n v="0"/>
    <n v="9"/>
  </r>
  <r>
    <x v="280"/>
    <s v="Hasan"/>
    <s v="Quidr"/>
    <x v="0"/>
    <d v="2020-04-30T00:00:00"/>
    <x v="1"/>
    <s v="Quality Control"/>
    <x v="0"/>
    <s v="North"/>
    <n v="2488"/>
    <n v="29856"/>
    <n v="5"/>
    <n v="0"/>
    <n v="5"/>
    <n v="3"/>
  </r>
  <r>
    <x v="281"/>
    <s v="Muhamad"/>
    <s v="Shaykh Janid"/>
    <x v="0"/>
    <d v="2020-04-18T00:00:00"/>
    <x v="1"/>
    <s v="Manufacturing"/>
    <x v="0"/>
    <s v="North"/>
    <n v="2187"/>
    <n v="26244"/>
    <n v="5"/>
    <n v="1"/>
    <n v="3"/>
    <n v="2"/>
  </r>
  <r>
    <x v="282"/>
    <s v="Esamat"/>
    <s v="Zaza"/>
    <x v="0"/>
    <d v="2020-05-12T00:00:00"/>
    <x v="1"/>
    <s v="Quality Control"/>
    <x v="0"/>
    <s v="Main"/>
    <n v="1366"/>
    <n v="16392"/>
    <n v="2"/>
    <n v="0"/>
    <n v="0"/>
    <n v="13"/>
  </r>
  <r>
    <x v="283"/>
    <s v="Fadi"/>
    <s v="Hububati"/>
    <x v="0"/>
    <d v="2019-05-06T00:00:00"/>
    <x v="4"/>
    <s v="Quality Assurance"/>
    <x v="0"/>
    <s v="West"/>
    <n v="2612"/>
    <n v="31344"/>
    <n v="5"/>
    <n v="0"/>
    <n v="0"/>
    <n v="8"/>
  </r>
  <r>
    <x v="284"/>
    <s v="Adnan"/>
    <s v="Alhusayn"/>
    <x v="0"/>
    <d v="2018-04-09T00:00:00"/>
    <x v="0"/>
    <s v="Account Management"/>
    <x v="2"/>
    <s v="Main"/>
    <n v="2246"/>
    <n v="26952"/>
    <n v="5"/>
    <n v="0"/>
    <n v="0"/>
    <n v="8"/>
  </r>
  <r>
    <x v="285"/>
    <s v="Muhamad"/>
    <s v="Allibad"/>
    <x v="0"/>
    <d v="2018-07-26T00:00:00"/>
    <x v="0"/>
    <s v="Quality Control"/>
    <x v="0"/>
    <s v="Main"/>
    <n v="2761"/>
    <n v="33132"/>
    <n v="5"/>
    <n v="0"/>
    <n v="2"/>
    <n v="5"/>
  </r>
  <r>
    <x v="286"/>
    <s v="Tana"/>
    <s v="Dahruj"/>
    <x v="1"/>
    <d v="2019-12-01T00:00:00"/>
    <x v="4"/>
    <s v="Creative"/>
    <x v="0"/>
    <s v="Main"/>
    <n v="1536"/>
    <n v="18432"/>
    <n v="4.5"/>
    <n v="0"/>
    <n v="0"/>
    <n v="76"/>
  </r>
  <r>
    <x v="287"/>
    <s v="Muhamad"/>
    <s v="Almtlq"/>
    <x v="0"/>
    <d v="2016-11-10T00:00:00"/>
    <x v="5"/>
    <s v="Professional Training Group"/>
    <x v="1"/>
    <s v="South"/>
    <n v="2180"/>
    <n v="26160"/>
    <n v="4.5"/>
    <n v="0"/>
    <n v="0"/>
    <n v="80"/>
  </r>
  <r>
    <x v="288"/>
    <s v="Sana"/>
    <s v="Alhusayn"/>
    <x v="1"/>
    <d v="2019-12-23T00:00:00"/>
    <x v="4"/>
    <s v="Account Management"/>
    <x v="0"/>
    <s v="Main"/>
    <n v="3412"/>
    <n v="40944"/>
    <n v="5"/>
    <n v="2"/>
    <n v="0"/>
    <n v="3"/>
  </r>
  <r>
    <x v="289"/>
    <s v="Muhamad"/>
    <s v="Bdraldyn"/>
    <x v="0"/>
    <d v="2018-05-30T00:00:00"/>
    <x v="0"/>
    <s v="Facilities/Engineering"/>
    <x v="0"/>
    <s v="Main"/>
    <n v="2546"/>
    <n v="30552"/>
    <n v="4.5"/>
    <n v="0"/>
    <n v="0"/>
    <n v="6"/>
  </r>
  <r>
    <x v="290"/>
    <s v="Muhamad"/>
    <s v="Eataya"/>
    <x v="0"/>
    <d v="2017-12-27T00:00:00"/>
    <x v="2"/>
    <s v="Research/Development"/>
    <x v="0"/>
    <s v="North"/>
    <n v="1856"/>
    <n v="22272"/>
    <n v="5"/>
    <n v="0"/>
    <n v="0"/>
    <n v="0"/>
  </r>
  <r>
    <x v="291"/>
    <s v="Fadi"/>
    <s v="Aljizamati"/>
    <x v="0"/>
    <d v="2019-06-02T00:00:00"/>
    <x v="4"/>
    <s v="Product Development"/>
    <x v="0"/>
    <s v="Main"/>
    <n v="3220"/>
    <n v="38640"/>
    <n v="5"/>
    <n v="6"/>
    <n v="0"/>
    <n v="3"/>
  </r>
  <r>
    <x v="292"/>
    <s v="Alaa"/>
    <s v="Alqasir"/>
    <x v="0"/>
    <d v="2016-04-13T00:00:00"/>
    <x v="5"/>
    <s v="Manufacturing"/>
    <x v="1"/>
    <s v="Main"/>
    <n v="3061"/>
    <n v="36732"/>
    <n v="5"/>
    <n v="0"/>
    <n v="0"/>
    <n v="3"/>
  </r>
  <r>
    <x v="293"/>
    <s v="Abd Alruhmin"/>
    <s v="Salih"/>
    <x v="0"/>
    <d v="2017-08-26T00:00:00"/>
    <x v="2"/>
    <s v="Training"/>
    <x v="1"/>
    <s v="North"/>
    <n v="2221"/>
    <n v="26652"/>
    <n v="2"/>
    <n v="0"/>
    <n v="0"/>
    <n v="1"/>
  </r>
  <r>
    <x v="294"/>
    <s v="Shilan"/>
    <s v="Ahmad"/>
    <x v="1"/>
    <d v="2017-04-27T00:00:00"/>
    <x v="2"/>
    <s v="Quality Control"/>
    <x v="1"/>
    <s v="South"/>
    <n v="1799"/>
    <n v="21588"/>
    <n v="4.5"/>
    <n v="2"/>
    <n v="0"/>
    <n v="6"/>
  </r>
  <r>
    <x v="295"/>
    <s v="Hasan"/>
    <s v="Aljasim"/>
    <x v="0"/>
    <d v="2017-05-24T00:00:00"/>
    <x v="2"/>
    <s v="Account Management"/>
    <x v="0"/>
    <s v="South"/>
    <n v="2082"/>
    <n v="24984"/>
    <n v="3"/>
    <n v="0"/>
    <n v="0"/>
    <n v="1"/>
  </r>
  <r>
    <x v="296"/>
    <s v="Khalil"/>
    <s v="Salam"/>
    <x v="0"/>
    <d v="2016-08-23T00:00:00"/>
    <x v="5"/>
    <s v="Creative"/>
    <x v="2"/>
    <s v="North"/>
    <n v="1490"/>
    <n v="17880"/>
    <n v="4.5"/>
    <n v="0"/>
    <n v="2"/>
    <n v="6"/>
  </r>
  <r>
    <x v="297"/>
    <s v="Majd"/>
    <s v="Abuhamd"/>
    <x v="1"/>
    <d v="2020-03-15T00:00:00"/>
    <x v="1"/>
    <s v="Account Management"/>
    <x v="2"/>
    <s v="North"/>
    <n v="2042"/>
    <n v="24504"/>
    <n v="4.5"/>
    <n v="0"/>
    <n v="0"/>
    <n v="10"/>
  </r>
  <r>
    <x v="298"/>
    <s v="Sami"/>
    <s v="Qareush"/>
    <x v="0"/>
    <d v="2016-05-02T00:00:00"/>
    <x v="5"/>
    <s v="Marketing"/>
    <x v="3"/>
    <s v="Main"/>
    <n v="985"/>
    <n v="11820"/>
    <n v="5"/>
    <n v="1"/>
    <n v="0"/>
    <n v="5"/>
  </r>
  <r>
    <x v="299"/>
    <s v="Rima"/>
    <s v="Jaridiun"/>
    <x v="1"/>
    <d v="2017-05-05T00:00:00"/>
    <x v="2"/>
    <s v="Sales"/>
    <x v="0"/>
    <s v="North"/>
    <n v="1988"/>
    <n v="23856"/>
    <n v="3"/>
    <n v="0"/>
    <n v="0"/>
    <n v="7"/>
  </r>
  <r>
    <x v="300"/>
    <s v="Iin"/>
    <s v="Alhumwi"/>
    <x v="1"/>
    <d v="2018-07-05T00:00:00"/>
    <x v="0"/>
    <s v="Account Management"/>
    <x v="1"/>
    <s v="South"/>
    <n v="1545"/>
    <n v="18540"/>
    <n v="5"/>
    <n v="1"/>
    <n v="0"/>
    <n v="1"/>
  </r>
  <r>
    <x v="301"/>
    <s v="Akthum"/>
    <s v="Eibdalbaqi"/>
    <x v="0"/>
    <d v="2020-07-04T00:00:00"/>
    <x v="1"/>
    <s v="Training"/>
    <x v="0"/>
    <s v="Main"/>
    <n v="2637"/>
    <n v="31644"/>
    <n v="5"/>
    <n v="0"/>
    <n v="0"/>
    <n v="50"/>
  </r>
  <r>
    <x v="302"/>
    <s v="Muhamad"/>
    <s v="Almurashihi"/>
    <x v="0"/>
    <d v="2019-12-11T00:00:00"/>
    <x v="4"/>
    <s v="Manufacturing"/>
    <x v="1"/>
    <s v="North"/>
    <n v="1385"/>
    <n v="16620"/>
    <n v="4.5"/>
    <n v="0"/>
    <n v="0"/>
    <n v="6"/>
  </r>
  <r>
    <x v="303"/>
    <s v="Batual"/>
    <s v="Abu Fakhar"/>
    <x v="1"/>
    <d v="2018-02-05T00:00:00"/>
    <x v="2"/>
    <s v="Manufacturing"/>
    <x v="2"/>
    <s v="South"/>
    <n v="2468"/>
    <n v="29616"/>
    <n v="1"/>
    <n v="4"/>
    <n v="0"/>
    <n v="3"/>
  </r>
  <r>
    <x v="304"/>
    <s v="Rinah"/>
    <s v="Alkhuriu"/>
    <x v="1"/>
    <d v="2018-06-29T00:00:00"/>
    <x v="0"/>
    <s v="Professional Training Group"/>
    <x v="3"/>
    <s v="Main"/>
    <n v="2098"/>
    <n v="25176"/>
    <n v="4.5"/>
    <n v="0"/>
    <n v="0"/>
    <n v="3"/>
  </r>
  <r>
    <x v="305"/>
    <s v="Muhamad"/>
    <s v="Alsaqaraq"/>
    <x v="0"/>
    <d v="2019-05-22T00:00:00"/>
    <x v="4"/>
    <s v="Marketing"/>
    <x v="2"/>
    <s v="Main"/>
    <n v="2302"/>
    <n v="27624"/>
    <n v="3"/>
    <n v="6"/>
    <n v="0"/>
    <n v="6"/>
  </r>
  <r>
    <x v="306"/>
    <s v="Diea"/>
    <s v="Sharina"/>
    <x v="0"/>
    <d v="2019-04-10T00:00:00"/>
    <x v="4"/>
    <s v="Facilities/Engineering"/>
    <x v="0"/>
    <s v="Main"/>
    <n v="1623"/>
    <n v="19476"/>
    <n v="1"/>
    <n v="6"/>
    <n v="0"/>
    <n v="4"/>
  </r>
  <r>
    <x v="307"/>
    <s v="Jablah"/>
    <s v="Alsulayman"/>
    <x v="1"/>
    <d v="2019-03-13T00:00:00"/>
    <x v="4"/>
    <s v="Quality Assurance"/>
    <x v="4"/>
    <s v="Main"/>
    <n v="1333"/>
    <n v="15996"/>
    <n v="3"/>
    <n v="1"/>
    <n v="6"/>
    <n v="10"/>
  </r>
  <r>
    <x v="308"/>
    <s v="Muhamad"/>
    <s v="Almaghribiu"/>
    <x v="0"/>
    <d v="2016-11-18T00:00:00"/>
    <x v="5"/>
    <s v="Quality Control"/>
    <x v="2"/>
    <s v="Main"/>
    <n v="1431"/>
    <n v="17172"/>
    <n v="5"/>
    <n v="0"/>
    <n v="0"/>
    <n v="4"/>
  </r>
  <r>
    <x v="309"/>
    <s v="Kholoud"/>
    <s v="Khayti"/>
    <x v="1"/>
    <d v="2019-12-24T00:00:00"/>
    <x v="4"/>
    <s v="Manufacturing"/>
    <x v="0"/>
    <s v="West"/>
    <n v="2527"/>
    <n v="30324"/>
    <n v="3"/>
    <n v="0"/>
    <n v="0"/>
    <n v="98"/>
  </r>
  <r>
    <x v="310"/>
    <s v="Rahaf"/>
    <s v="Jamul"/>
    <x v="1"/>
    <d v="2017-02-06T00:00:00"/>
    <x v="5"/>
    <s v="Manufacturing"/>
    <x v="0"/>
    <s v="South"/>
    <n v="2631"/>
    <n v="31572"/>
    <n v="3"/>
    <n v="0"/>
    <n v="0"/>
    <n v="7"/>
  </r>
  <r>
    <x v="311"/>
    <s v="Faras"/>
    <s v="Alrahil"/>
    <x v="0"/>
    <d v="2018-03-12T00:00:00"/>
    <x v="0"/>
    <s v="Marketing"/>
    <x v="0"/>
    <s v="West"/>
    <n v="1600"/>
    <n v="19200"/>
    <n v="4.5"/>
    <n v="0"/>
    <n v="0"/>
    <n v="0"/>
  </r>
  <r>
    <x v="312"/>
    <s v="Abd Alrazzaq"/>
    <s v="Gharah"/>
    <x v="0"/>
    <d v="2020-12-16T00:00:00"/>
    <x v="1"/>
    <s v="Environmental Compliance"/>
    <x v="0"/>
    <s v="Main"/>
    <n v="2752"/>
    <n v="33024"/>
    <n v="5"/>
    <n v="0"/>
    <n v="0"/>
    <n v="4"/>
  </r>
  <r>
    <x v="313"/>
    <s v="Alaa"/>
    <s v="Saed"/>
    <x v="1"/>
    <d v="2020-06-16T00:00:00"/>
    <x v="1"/>
    <s v="Quality Control"/>
    <x v="0"/>
    <s v="Main"/>
    <n v="3125"/>
    <n v="37500"/>
    <n v="5"/>
    <n v="0"/>
    <n v="0"/>
    <n v="5"/>
  </r>
  <r>
    <x v="314"/>
    <s v="Lylas"/>
    <s v="Shiah"/>
    <x v="1"/>
    <d v="2019-07-02T00:00:00"/>
    <x v="4"/>
    <s v="IT"/>
    <x v="1"/>
    <s v="West"/>
    <n v="2091"/>
    <n v="25092"/>
    <n v="2"/>
    <n v="0"/>
    <n v="1"/>
    <n v="9"/>
  </r>
  <r>
    <x v="315"/>
    <s v="Kinda"/>
    <s v="Alaqre"/>
    <x v="1"/>
    <d v="2016-12-22T00:00:00"/>
    <x v="5"/>
    <s v="Marketing"/>
    <x v="2"/>
    <s v="Main"/>
    <n v="1009"/>
    <n v="12108"/>
    <n v="4.5"/>
    <n v="0"/>
    <n v="0"/>
    <n v="17"/>
  </r>
  <r>
    <x v="316"/>
    <s v="Muhamad"/>
    <s v="Almisri"/>
    <x v="0"/>
    <d v="2020-10-11T00:00:00"/>
    <x v="1"/>
    <s v="Quality Control"/>
    <x v="1"/>
    <s v="Main"/>
    <n v="3443"/>
    <n v="41316"/>
    <n v="1"/>
    <n v="0"/>
    <n v="0"/>
    <n v="1"/>
  </r>
  <r>
    <x v="317"/>
    <s v="Dinana"/>
    <s v="Zaydan"/>
    <x v="1"/>
    <d v="2018-03-23T00:00:00"/>
    <x v="0"/>
    <s v="Manufacturing"/>
    <x v="3"/>
    <s v="West"/>
    <n v="1582"/>
    <n v="18984"/>
    <n v="4.5"/>
    <n v="0"/>
    <n v="0"/>
    <n v="5"/>
  </r>
  <r>
    <x v="318"/>
    <s v="Amyrah"/>
    <s v="Mudinih"/>
    <x v="1"/>
    <d v="2019-03-04T00:00:00"/>
    <x v="4"/>
    <s v="Marketing"/>
    <x v="2"/>
    <s v="North"/>
    <n v="2103"/>
    <n v="25236"/>
    <n v="5"/>
    <n v="1"/>
    <n v="1"/>
    <n v="2"/>
  </r>
  <r>
    <x v="319"/>
    <s v="Safa"/>
    <s v="AlAhmar"/>
    <x v="1"/>
    <d v="2018-01-06T00:00:00"/>
    <x v="2"/>
    <s v="Environmental Compliance"/>
    <x v="0"/>
    <s v="Main"/>
    <n v="3108"/>
    <n v="37296"/>
    <n v="1"/>
    <n v="0"/>
    <n v="0"/>
    <n v="45"/>
  </r>
  <r>
    <x v="320"/>
    <s v="Ahmad"/>
    <s v="Eurman"/>
    <x v="0"/>
    <d v="2016-08-19T00:00:00"/>
    <x v="5"/>
    <s v="Manufacturing"/>
    <x v="0"/>
    <s v="Main"/>
    <n v="1810"/>
    <n v="21720"/>
    <n v="3"/>
    <n v="0"/>
    <n v="0"/>
    <n v="5"/>
  </r>
  <r>
    <x v="321"/>
    <s v="Abd Allah"/>
    <s v="Almawsiliu"/>
    <x v="0"/>
    <d v="2018-08-10T00:00:00"/>
    <x v="0"/>
    <s v="Creative"/>
    <x v="1"/>
    <s v="West"/>
    <n v="2312"/>
    <n v="27744"/>
    <n v="3"/>
    <n v="3"/>
    <n v="0"/>
    <n v="10"/>
  </r>
  <r>
    <x v="322"/>
    <s v="Majd"/>
    <s v="Eisaa"/>
    <x v="1"/>
    <d v="2020-06-11T00:00:00"/>
    <x v="1"/>
    <s v="Facilities/Engineering"/>
    <x v="0"/>
    <s v="Main"/>
    <n v="2783"/>
    <n v="33396"/>
    <n v="1"/>
    <n v="2"/>
    <n v="0"/>
    <n v="15"/>
  </r>
  <r>
    <x v="323"/>
    <s v="Muhamad"/>
    <s v="Salhany"/>
    <x v="0"/>
    <d v="2020-12-02T00:00:00"/>
    <x v="1"/>
    <s v="Quality Control"/>
    <x v="0"/>
    <s v="Main"/>
    <n v="3428"/>
    <n v="41136"/>
    <n v="3"/>
    <n v="5"/>
    <n v="0"/>
    <n v="10"/>
  </r>
  <r>
    <x v="324"/>
    <s v="Ashraf"/>
    <s v="Aleid"/>
    <x v="0"/>
    <d v="2018-02-05T00:00:00"/>
    <x v="2"/>
    <s v="Account Management"/>
    <x v="0"/>
    <s v="North"/>
    <n v="3450"/>
    <n v="41400"/>
    <n v="2"/>
    <n v="0"/>
    <n v="4"/>
    <n v="9"/>
  </r>
  <r>
    <x v="325"/>
    <s v="Muhamad"/>
    <s v="Shadi Alghazy"/>
    <x v="0"/>
    <d v="2018-09-19T00:00:00"/>
    <x v="0"/>
    <s v="Research Center"/>
    <x v="2"/>
    <s v="Main"/>
    <n v="1226"/>
    <n v="14712"/>
    <n v="2"/>
    <n v="6"/>
    <n v="5"/>
    <n v="4"/>
  </r>
  <r>
    <x v="326"/>
    <s v="Muhamad"/>
    <s v="Husayn"/>
    <x v="0"/>
    <d v="2019-08-30T00:00:00"/>
    <x v="4"/>
    <s v="Quality Assurance"/>
    <x v="0"/>
    <s v="North"/>
    <n v="3219"/>
    <n v="38628"/>
    <n v="3"/>
    <n v="0"/>
    <n v="0"/>
    <n v="5"/>
  </r>
  <r>
    <x v="327"/>
    <s v="Mazin"/>
    <s v="Bytar"/>
    <x v="0"/>
    <d v="2019-04-19T00:00:00"/>
    <x v="4"/>
    <s v="Quality Control"/>
    <x v="1"/>
    <s v="Main"/>
    <n v="2060"/>
    <n v="24720"/>
    <n v="5"/>
    <n v="0"/>
    <n v="0"/>
    <n v="14"/>
  </r>
  <r>
    <x v="328"/>
    <s v="Iin"/>
    <s v="Farahat"/>
    <x v="1"/>
    <d v="2019-01-18T00:00:00"/>
    <x v="0"/>
    <s v="IT"/>
    <x v="3"/>
    <s v="Main"/>
    <n v="2479"/>
    <n v="29748"/>
    <n v="5"/>
    <n v="0"/>
    <n v="2"/>
    <n v="3"/>
  </r>
  <r>
    <x v="329"/>
    <s v="Lama"/>
    <s v="Albazir"/>
    <x v="1"/>
    <d v="2018-05-28T00:00:00"/>
    <x v="0"/>
    <s v="Product Development"/>
    <x v="2"/>
    <s v="Main"/>
    <n v="2106"/>
    <n v="25272"/>
    <n v="3"/>
    <n v="0"/>
    <n v="0"/>
    <n v="9"/>
  </r>
  <r>
    <x v="330"/>
    <s v="Emar"/>
    <s v="Alnisrin"/>
    <x v="1"/>
    <d v="2019-06-07T00:00:00"/>
    <x v="4"/>
    <s v="Manufacturing"/>
    <x v="1"/>
    <s v="South"/>
    <n v="1480"/>
    <n v="17760"/>
    <n v="2"/>
    <n v="0"/>
    <n v="0"/>
    <n v="10"/>
  </r>
  <r>
    <x v="331"/>
    <s v="Afra"/>
    <s v="Sharabi"/>
    <x v="1"/>
    <d v="2017-11-19T00:00:00"/>
    <x v="2"/>
    <s v="Manufacturing"/>
    <x v="0"/>
    <s v="West"/>
    <n v="994"/>
    <n v="11928"/>
    <n v="1"/>
    <n v="0"/>
    <n v="0"/>
    <n v="9"/>
  </r>
  <r>
    <x v="332"/>
    <s v="Ahmad"/>
    <s v="Hamuwd"/>
    <x v="0"/>
    <d v="2019-11-28T00:00:00"/>
    <x v="4"/>
    <s v="Facilities/Engineering"/>
    <x v="2"/>
    <s v="Main"/>
    <n v="2119"/>
    <n v="25428"/>
    <n v="4.5"/>
    <n v="1"/>
    <n v="5"/>
    <n v="0"/>
  </r>
  <r>
    <x v="333"/>
    <s v="Ramiz"/>
    <s v="Aleuryan"/>
    <x v="0"/>
    <d v="2018-10-05T00:00:00"/>
    <x v="0"/>
    <s v="IT"/>
    <x v="0"/>
    <s v="Main"/>
    <n v="1577"/>
    <n v="18924"/>
    <n v="4.5"/>
    <n v="0"/>
    <n v="0"/>
    <n v="7"/>
  </r>
  <r>
    <x v="334"/>
    <s v="Iad"/>
    <s v="Eaku"/>
    <x v="0"/>
    <d v="2018-05-04T00:00:00"/>
    <x v="0"/>
    <s v="Quality Control"/>
    <x v="2"/>
    <s v="Main"/>
    <n v="3160"/>
    <n v="37920"/>
    <n v="5"/>
    <n v="0"/>
    <n v="5"/>
    <n v="10"/>
  </r>
  <r>
    <x v="335"/>
    <s v="Husayn"/>
    <s v="Euthman"/>
    <x v="0"/>
    <d v="2020-10-19T00:00:00"/>
    <x v="1"/>
    <s v="Professional Training Group"/>
    <x v="1"/>
    <s v="Main"/>
    <n v="2692"/>
    <n v="32304"/>
    <n v="1"/>
    <n v="4"/>
    <n v="0"/>
    <n v="6"/>
  </r>
  <r>
    <x v="336"/>
    <s v="Imran"/>
    <s v="Hazruma"/>
    <x v="0"/>
    <d v="2018-11-26T00:00:00"/>
    <x v="0"/>
    <s v="Account Management"/>
    <x v="2"/>
    <s v="South"/>
    <n v="1448"/>
    <n v="17376"/>
    <n v="4.5"/>
    <n v="0"/>
    <n v="0"/>
    <n v="1"/>
  </r>
  <r>
    <x v="337"/>
    <s v="Rawan"/>
    <s v="Durkzili"/>
    <x v="1"/>
    <d v="2019-03-17T00:00:00"/>
    <x v="4"/>
    <s v="Manufacturing"/>
    <x v="0"/>
    <s v="West"/>
    <n v="1568"/>
    <n v="18816"/>
    <n v="3"/>
    <n v="5"/>
    <n v="0"/>
    <n v="7"/>
  </r>
  <r>
    <x v="338"/>
    <s v="Muayid"/>
    <s v="Shaqir"/>
    <x v="0"/>
    <d v="2016-12-20T00:00:00"/>
    <x v="5"/>
    <s v="Facilities/Engineering"/>
    <x v="0"/>
    <s v="North"/>
    <n v="1823"/>
    <n v="21876"/>
    <n v="4.5"/>
    <n v="5"/>
    <n v="0"/>
    <n v="9"/>
  </r>
  <r>
    <x v="339"/>
    <s v="Muanis"/>
    <s v="Alsabagh"/>
    <x v="0"/>
    <d v="2019-02-16T00:00:00"/>
    <x v="0"/>
    <s v="Manufacturing"/>
    <x v="0"/>
    <s v="West"/>
    <n v="1712"/>
    <n v="20544"/>
    <n v="4.5"/>
    <n v="0"/>
    <n v="4"/>
    <n v="15"/>
  </r>
  <r>
    <x v="340"/>
    <s v="Dijwar"/>
    <s v="Husu"/>
    <x v="0"/>
    <d v="2020-10-30T00:00:00"/>
    <x v="1"/>
    <s v="Product Development"/>
    <x v="2"/>
    <s v="South"/>
    <n v="744"/>
    <n v="8928"/>
    <n v="5"/>
    <n v="5"/>
    <n v="0"/>
    <n v="8"/>
  </r>
  <r>
    <x v="341"/>
    <s v="Asama"/>
    <s v="Eilwan"/>
    <x v="1"/>
    <d v="2017-07-29T00:00:00"/>
    <x v="2"/>
    <s v="Manufacturing"/>
    <x v="0"/>
    <s v="North"/>
    <n v="2972"/>
    <n v="35664"/>
    <n v="5"/>
    <n v="0"/>
    <n v="4"/>
    <n v="2"/>
  </r>
  <r>
    <x v="342"/>
    <s v="Esamat"/>
    <s v="Alhidad"/>
    <x v="0"/>
    <d v="2019-11-16T00:00:00"/>
    <x v="4"/>
    <s v="Account Management"/>
    <x v="0"/>
    <s v="North"/>
    <n v="2931"/>
    <n v="35172"/>
    <n v="3"/>
    <n v="6"/>
    <n v="0"/>
    <n v="71"/>
  </r>
  <r>
    <x v="343"/>
    <s v="Tariq"/>
    <s v="Zaeur"/>
    <x v="0"/>
    <d v="2018-07-20T00:00:00"/>
    <x v="0"/>
    <s v="Creative"/>
    <x v="3"/>
    <s v="West"/>
    <n v="2544"/>
    <n v="30528"/>
    <n v="3"/>
    <n v="0"/>
    <n v="0"/>
    <n v="2"/>
  </r>
  <r>
    <x v="344"/>
    <s v="Rasul"/>
    <s v="Aleumurii"/>
    <x v="0"/>
    <d v="2016-08-23T00:00:00"/>
    <x v="5"/>
    <s v="Manufacturing"/>
    <x v="1"/>
    <s v="Main"/>
    <n v="1595"/>
    <n v="19140"/>
    <n v="5"/>
    <n v="0"/>
    <n v="0"/>
    <n v="0"/>
  </r>
  <r>
    <x v="345"/>
    <s v="Rawan"/>
    <s v="Albaytar"/>
    <x v="1"/>
    <d v="2018-12-05T00:00:00"/>
    <x v="0"/>
    <s v="Account Management"/>
    <x v="3"/>
    <s v="West"/>
    <n v="1326"/>
    <n v="15912"/>
    <n v="3"/>
    <n v="0"/>
    <n v="3"/>
    <n v="7"/>
  </r>
  <r>
    <x v="346"/>
    <s v="Omar"/>
    <s v="Altuean"/>
    <x v="0"/>
    <d v="2019-01-27T00:00:00"/>
    <x v="0"/>
    <s v="Marketing"/>
    <x v="0"/>
    <s v="Main"/>
    <n v="3117"/>
    <n v="37404"/>
    <n v="3"/>
    <n v="0"/>
    <n v="4"/>
    <n v="0"/>
  </r>
  <r>
    <x v="347"/>
    <s v="Dalia"/>
    <s v="Hamdan"/>
    <x v="1"/>
    <d v="2019-02-11T00:00:00"/>
    <x v="0"/>
    <s v="Major Mfg Projects"/>
    <x v="0"/>
    <s v="West"/>
    <n v="3446"/>
    <n v="41352"/>
    <n v="5"/>
    <n v="0"/>
    <n v="0"/>
    <n v="10"/>
  </r>
  <r>
    <x v="348"/>
    <s v="Omar"/>
    <s v="Alhindi"/>
    <x v="0"/>
    <d v="2019-01-11T00:00:00"/>
    <x v="0"/>
    <s v="Manufacturing"/>
    <x v="2"/>
    <s v="West"/>
    <n v="2023"/>
    <n v="24276"/>
    <n v="4.5"/>
    <n v="6"/>
    <n v="0"/>
    <n v="6"/>
  </r>
  <r>
    <x v="349"/>
    <s v="Ali"/>
    <s v="Zyny"/>
    <x v="0"/>
    <d v="2020-08-01T00:00:00"/>
    <x v="1"/>
    <s v="Quality Assurance"/>
    <x v="0"/>
    <s v="North"/>
    <n v="979"/>
    <n v="11748"/>
    <n v="3"/>
    <n v="6"/>
    <n v="0"/>
    <n v="4"/>
  </r>
  <r>
    <x v="350"/>
    <s v="Almuetaz"/>
    <s v="Biallah"/>
    <x v="0"/>
    <d v="2020-08-21T00:00:00"/>
    <x v="1"/>
    <s v="Environmental Health/Safety"/>
    <x v="0"/>
    <s v="Main"/>
    <n v="1676"/>
    <n v="20112"/>
    <n v="4.5"/>
    <n v="0"/>
    <n v="0"/>
    <n v="8"/>
  </r>
  <r>
    <x v="351"/>
    <s v="Rabana"/>
    <s v="Alsaman"/>
    <x v="1"/>
    <d v="2017-01-12T00:00:00"/>
    <x v="5"/>
    <s v="Sales"/>
    <x v="0"/>
    <s v="North"/>
    <n v="3079"/>
    <n v="36948"/>
    <n v="3"/>
    <n v="0"/>
    <n v="0"/>
    <n v="2"/>
  </r>
  <r>
    <x v="352"/>
    <s v="Ghada"/>
    <s v="Khalid"/>
    <x v="1"/>
    <d v="2019-07-29T00:00:00"/>
    <x v="4"/>
    <s v="IT"/>
    <x v="0"/>
    <s v="Main"/>
    <n v="2164"/>
    <n v="25968"/>
    <n v="3"/>
    <n v="0"/>
    <n v="2"/>
    <n v="0"/>
  </r>
  <r>
    <x v="353"/>
    <s v="Esamat"/>
    <s v="Alriys"/>
    <x v="0"/>
    <d v="2020-11-11T00:00:00"/>
    <x v="1"/>
    <s v="Manufacturing"/>
    <x v="0"/>
    <s v="Main"/>
    <n v="2312"/>
    <n v="27744"/>
    <n v="3"/>
    <n v="0"/>
    <n v="0"/>
    <n v="31"/>
  </r>
  <r>
    <x v="354"/>
    <s v="Amir"/>
    <s v="Alkhatib"/>
    <x v="0"/>
    <d v="2017-08-27T00:00:00"/>
    <x v="2"/>
    <s v="Account Management"/>
    <x v="0"/>
    <s v="West"/>
    <n v="834"/>
    <n v="10008"/>
    <n v="2"/>
    <n v="6"/>
    <n v="0"/>
    <n v="13"/>
  </r>
  <r>
    <x v="355"/>
    <s v="Samirah"/>
    <s v="Jumea"/>
    <x v="1"/>
    <d v="2019-01-15T00:00:00"/>
    <x v="0"/>
    <s v="Quality Control"/>
    <x v="0"/>
    <s v="Main"/>
    <n v="723"/>
    <n v="8676"/>
    <n v="3"/>
    <n v="0"/>
    <n v="0"/>
    <n v="10"/>
  </r>
  <r>
    <x v="356"/>
    <s v="Samir"/>
    <s v="Alhaj Ali"/>
    <x v="0"/>
    <d v="2016-05-14T00:00:00"/>
    <x v="5"/>
    <s v="Quality Assurance"/>
    <x v="0"/>
    <s v="West"/>
    <n v="2807"/>
    <n v="33684"/>
    <n v="3"/>
    <n v="5"/>
    <n v="1"/>
    <n v="2"/>
  </r>
  <r>
    <x v="357"/>
    <s v="Farial"/>
    <s v="Qulumih"/>
    <x v="1"/>
    <d v="2017-06-18T00:00:00"/>
    <x v="2"/>
    <s v="Marketing"/>
    <x v="1"/>
    <s v="North"/>
    <n v="1002"/>
    <n v="12024"/>
    <n v="5"/>
    <n v="1"/>
    <n v="0"/>
    <n v="3"/>
  </r>
  <r>
    <x v="358"/>
    <s v="Salih"/>
    <s v="Dawara"/>
    <x v="0"/>
    <d v="2020-07-11T00:00:00"/>
    <x v="1"/>
    <s v="Creative"/>
    <x v="0"/>
    <s v="West"/>
    <n v="2265"/>
    <n v="27180"/>
    <n v="5"/>
    <n v="1"/>
    <n v="0"/>
    <n v="9"/>
  </r>
  <r>
    <x v="359"/>
    <s v="Abdalhadi"/>
    <s v="Salim"/>
    <x v="0"/>
    <d v="2019-10-15T00:00:00"/>
    <x v="4"/>
    <s v="Quality Control"/>
    <x v="0"/>
    <s v="North"/>
    <n v="3283"/>
    <n v="39396"/>
    <n v="5"/>
    <n v="0"/>
    <n v="0"/>
    <n v="3"/>
  </r>
  <r>
    <x v="360"/>
    <s v="Ruaa"/>
    <s v="Qahraman"/>
    <x v="1"/>
    <d v="2018-04-14T00:00:00"/>
    <x v="0"/>
    <s v="Quality Assurance"/>
    <x v="0"/>
    <s v="North"/>
    <n v="2675"/>
    <n v="32100"/>
    <n v="3"/>
    <n v="1"/>
    <n v="6"/>
    <n v="4"/>
  </r>
  <r>
    <x v="361"/>
    <s v="Muhamad"/>
    <s v="Mshati"/>
    <x v="0"/>
    <d v="2019-01-16T00:00:00"/>
    <x v="0"/>
    <s v="Marketing"/>
    <x v="2"/>
    <s v="Main"/>
    <n v="3056"/>
    <n v="36672"/>
    <n v="4.5"/>
    <n v="0"/>
    <n v="0"/>
    <n v="9"/>
  </r>
  <r>
    <x v="362"/>
    <s v="Shadi"/>
    <s v="Altibae"/>
    <x v="0"/>
    <d v="2019-10-14T00:00:00"/>
    <x v="4"/>
    <s v="Manufacturing"/>
    <x v="0"/>
    <s v="West"/>
    <n v="1579"/>
    <n v="18948"/>
    <n v="3"/>
    <n v="0"/>
    <n v="0"/>
    <n v="14"/>
  </r>
  <r>
    <x v="363"/>
    <s v="Ahmad"/>
    <s v="Iidlibi"/>
    <x v="0"/>
    <d v="2019-06-06T00:00:00"/>
    <x v="4"/>
    <s v="Marketing"/>
    <x v="1"/>
    <s v="East"/>
    <n v="1255"/>
    <n v="15060"/>
    <n v="3"/>
    <n v="6"/>
    <n v="0"/>
    <n v="0"/>
  </r>
  <r>
    <x v="364"/>
    <s v="Fadi"/>
    <s v="Ghazzawi"/>
    <x v="0"/>
    <d v="2019-01-31T00:00:00"/>
    <x v="0"/>
    <s v="Quality Control"/>
    <x v="0"/>
    <s v="East"/>
    <n v="3418"/>
    <n v="41016"/>
    <n v="3"/>
    <n v="4"/>
    <n v="0"/>
    <n v="1"/>
  </r>
  <r>
    <x v="365"/>
    <s v="Basil"/>
    <s v="Eabd Aleal"/>
    <x v="0"/>
    <d v="2020-11-30T00:00:00"/>
    <x v="1"/>
    <s v="Marketing"/>
    <x v="0"/>
    <s v="East"/>
    <n v="3368"/>
    <n v="40416"/>
    <n v="3"/>
    <n v="0"/>
    <n v="0"/>
    <n v="8"/>
  </r>
  <r>
    <x v="366"/>
    <s v="Sali"/>
    <s v="Musuh"/>
    <x v="1"/>
    <d v="2019-11-15T00:00:00"/>
    <x v="4"/>
    <s v="Green Building"/>
    <x v="2"/>
    <s v="North"/>
    <n v="3275"/>
    <n v="39300"/>
    <n v="3"/>
    <n v="1"/>
    <n v="2"/>
    <n v="12"/>
  </r>
  <r>
    <x v="367"/>
    <s v="Alaa"/>
    <s v="Iismaeil"/>
    <x v="1"/>
    <d v="2020-12-27T00:00:00"/>
    <x v="1"/>
    <s v="IT"/>
    <x v="2"/>
    <s v="West"/>
    <n v="3043"/>
    <n v="36516"/>
    <n v="2"/>
    <n v="0"/>
    <n v="0"/>
    <n v="8"/>
  </r>
  <r>
    <x v="368"/>
    <s v="Maria"/>
    <s v="Alhizae"/>
    <x v="1"/>
    <d v="2019-12-04T00:00:00"/>
    <x v="4"/>
    <s v="Creative"/>
    <x v="4"/>
    <s v="North"/>
    <n v="1122"/>
    <n v="13464"/>
    <n v="4.5"/>
    <n v="2"/>
    <n v="4"/>
    <n v="7"/>
  </r>
  <r>
    <x v="369"/>
    <s v="Ghazal"/>
    <s v="Alghan"/>
    <x v="1"/>
    <d v="2018-03-24T00:00:00"/>
    <x v="0"/>
    <s v="Manufacturing"/>
    <x v="0"/>
    <s v="Main"/>
    <n v="764"/>
    <n v="9168"/>
    <n v="5"/>
    <n v="4"/>
    <n v="1"/>
    <n v="13"/>
  </r>
  <r>
    <x v="370"/>
    <s v="Eala"/>
    <s v="Mitri"/>
    <x v="1"/>
    <d v="2019-02-02T00:00:00"/>
    <x v="0"/>
    <s v="Account Management"/>
    <x v="1"/>
    <s v="North"/>
    <n v="2879"/>
    <n v="34548"/>
    <n v="2"/>
    <n v="0"/>
    <n v="0"/>
    <n v="8"/>
  </r>
  <r>
    <x v="371"/>
    <s v="Muhamad"/>
    <s v="Aleliwi"/>
    <x v="0"/>
    <d v="2020-02-25T00:00:00"/>
    <x v="4"/>
    <s v="Manufacturing"/>
    <x v="2"/>
    <s v="West"/>
    <n v="2252"/>
    <n v="27024"/>
    <n v="3"/>
    <n v="1"/>
    <n v="0"/>
    <n v="50"/>
  </r>
  <r>
    <x v="372"/>
    <s v="Ahmad"/>
    <s v="Almisri"/>
    <x v="0"/>
    <d v="2018-11-09T00:00:00"/>
    <x v="0"/>
    <s v="Product Development"/>
    <x v="2"/>
    <s v="South"/>
    <n v="2149"/>
    <n v="25788"/>
    <n v="3"/>
    <n v="0"/>
    <n v="0"/>
    <n v="1"/>
  </r>
  <r>
    <x v="373"/>
    <s v="Ahmad"/>
    <s v="Aldwltali"/>
    <x v="0"/>
    <d v="2019-11-08T00:00:00"/>
    <x v="4"/>
    <s v="Human Resources"/>
    <x v="2"/>
    <s v="Main"/>
    <n v="2428"/>
    <n v="29136"/>
    <n v="5"/>
    <n v="0"/>
    <n v="0"/>
    <n v="35"/>
  </r>
  <r>
    <x v="374"/>
    <s v="Muhamad"/>
    <s v="Udib"/>
    <x v="0"/>
    <d v="2019-10-12T00:00:00"/>
    <x v="4"/>
    <s v="Manufacturing"/>
    <x v="0"/>
    <s v="Main"/>
    <n v="3240"/>
    <n v="38880"/>
    <n v="5"/>
    <n v="0"/>
    <n v="0"/>
    <n v="6"/>
  </r>
  <r>
    <x v="375"/>
    <s v="Alaa"/>
    <s v="Yuzbik"/>
    <x v="1"/>
    <d v="2018-03-11T00:00:00"/>
    <x v="0"/>
    <s v="Account Management"/>
    <x v="0"/>
    <s v="East"/>
    <n v="1448"/>
    <n v="17376"/>
    <n v="3"/>
    <n v="4"/>
    <n v="0"/>
    <n v="10"/>
  </r>
  <r>
    <x v="376"/>
    <s v="Husayn"/>
    <s v="Zaerur"/>
    <x v="0"/>
    <d v="2020-08-01T00:00:00"/>
    <x v="1"/>
    <s v="Manufacturing"/>
    <x v="0"/>
    <s v="East"/>
    <n v="2409"/>
    <n v="28908"/>
    <n v="3"/>
    <n v="3"/>
    <n v="3"/>
    <n v="3"/>
  </r>
  <r>
    <x v="377"/>
    <s v="Saeid"/>
    <s v="Mazlum"/>
    <x v="0"/>
    <d v="2019-10-03T00:00:00"/>
    <x v="4"/>
    <s v="Professional Training Group"/>
    <x v="2"/>
    <s v="South"/>
    <n v="3030"/>
    <n v="36360"/>
    <n v="2"/>
    <n v="6"/>
    <n v="0"/>
    <n v="5"/>
  </r>
  <r>
    <x v="378"/>
    <s v="Ahmad"/>
    <s v="Alghurani"/>
    <x v="0"/>
    <d v="2020-09-18T00:00:00"/>
    <x v="1"/>
    <s v="Manufacturing"/>
    <x v="2"/>
    <s v="North"/>
    <n v="2544"/>
    <n v="30528"/>
    <n v="5"/>
    <n v="0"/>
    <n v="0"/>
    <n v="11"/>
  </r>
  <r>
    <x v="379"/>
    <s v="Abd Alsamad"/>
    <s v="Ahmad"/>
    <x v="0"/>
    <d v="2017-02-12T00:00:00"/>
    <x v="5"/>
    <s v="Facilities/Engineering"/>
    <x v="0"/>
    <s v="West"/>
    <n v="2872"/>
    <n v="34464"/>
    <n v="4.5"/>
    <n v="5"/>
    <n v="0"/>
    <n v="7"/>
  </r>
  <r>
    <x v="380"/>
    <s v="Amir"/>
    <s v="Alhasan"/>
    <x v="0"/>
    <d v="2019-01-03T00:00:00"/>
    <x v="0"/>
    <s v="Product Development"/>
    <x v="0"/>
    <s v="South"/>
    <n v="2263"/>
    <n v="27156"/>
    <n v="4.5"/>
    <n v="0"/>
    <n v="0"/>
    <n v="8"/>
  </r>
  <r>
    <x v="381"/>
    <s v="Alaa"/>
    <s v="Altahhan"/>
    <x v="1"/>
    <d v="2019-08-27T00:00:00"/>
    <x v="4"/>
    <s v="Quality Control"/>
    <x v="2"/>
    <s v="East"/>
    <n v="2136"/>
    <n v="25632"/>
    <n v="5"/>
    <n v="4"/>
    <n v="0"/>
    <n v="12"/>
  </r>
  <r>
    <x v="382"/>
    <s v="Iad"/>
    <s v="Mahfud"/>
    <x v="0"/>
    <d v="2017-07-24T00:00:00"/>
    <x v="2"/>
    <s v="Manufacturing"/>
    <x v="0"/>
    <s v="Main"/>
    <n v="2379"/>
    <n v="28548"/>
    <n v="4.5"/>
    <n v="1"/>
    <n v="0"/>
    <n v="10"/>
  </r>
  <r>
    <x v="383"/>
    <s v="Sarah"/>
    <s v="Damrani"/>
    <x v="1"/>
    <d v="2020-07-24T00:00:00"/>
    <x v="1"/>
    <s v="Account Management"/>
    <x v="0"/>
    <s v="North"/>
    <n v="1940"/>
    <n v="23280"/>
    <n v="3"/>
    <n v="4"/>
    <n v="6"/>
    <n v="5"/>
  </r>
  <r>
    <x v="384"/>
    <s v="Husam"/>
    <s v="Aldubus"/>
    <x v="0"/>
    <d v="2019-05-18T00:00:00"/>
    <x v="4"/>
    <s v="Facilities/Engineering"/>
    <x v="0"/>
    <s v="Main"/>
    <n v="1558"/>
    <n v="18696"/>
    <n v="2"/>
    <n v="0"/>
    <n v="6"/>
    <n v="9"/>
  </r>
  <r>
    <x v="385"/>
    <s v="Ahmad"/>
    <s v="Zynu"/>
    <x v="0"/>
    <d v="2019-04-08T00:00:00"/>
    <x v="4"/>
    <s v="IT"/>
    <x v="0"/>
    <s v="North"/>
    <n v="1341"/>
    <n v="16092"/>
    <n v="5"/>
    <n v="3"/>
    <n v="0"/>
    <n v="8"/>
  </r>
  <r>
    <x v="386"/>
    <s v="Lwy"/>
    <s v="Abu"/>
    <x v="0"/>
    <d v="2019-04-11T00:00:00"/>
    <x v="4"/>
    <s v="Manufacturing"/>
    <x v="0"/>
    <s v="Main"/>
    <n v="1703"/>
    <n v="20436"/>
    <n v="5"/>
    <n v="2"/>
    <n v="0"/>
    <n v="10"/>
  </r>
  <r>
    <x v="387"/>
    <s v="Tariq"/>
    <s v="Shams"/>
    <x v="0"/>
    <d v="2020-07-20T00:00:00"/>
    <x v="1"/>
    <s v="Professional Training Group"/>
    <x v="0"/>
    <s v="North"/>
    <n v="3282"/>
    <n v="39384"/>
    <n v="1"/>
    <n v="0"/>
    <n v="0"/>
    <n v="2"/>
  </r>
  <r>
    <x v="388"/>
    <s v="Muhamad"/>
    <s v="Khalil"/>
    <x v="0"/>
    <d v="2020-03-05T00:00:00"/>
    <x v="1"/>
    <s v="Sales"/>
    <x v="0"/>
    <s v="West"/>
    <n v="3125"/>
    <n v="37500"/>
    <n v="2"/>
    <n v="6"/>
    <n v="3"/>
    <n v="0"/>
  </r>
  <r>
    <x v="389"/>
    <s v="Amal"/>
    <s v="Alhusayn"/>
    <x v="1"/>
    <d v="2020-05-07T00:00:00"/>
    <x v="1"/>
    <s v="Account Management"/>
    <x v="2"/>
    <s v="West"/>
    <n v="2232"/>
    <n v="26784"/>
    <n v="4.5"/>
    <n v="0"/>
    <n v="0"/>
    <n v="7"/>
  </r>
  <r>
    <x v="390"/>
    <s v="Fadi"/>
    <s v="Shakur"/>
    <x v="0"/>
    <d v="2017-03-29T00:00:00"/>
    <x v="2"/>
    <s v="Quality Assurance"/>
    <x v="3"/>
    <s v="Main"/>
    <n v="2513"/>
    <n v="30156"/>
    <n v="4.5"/>
    <n v="2"/>
    <n v="0"/>
    <n v="8"/>
  </r>
  <r>
    <x v="391"/>
    <s v="Abdalhai"/>
    <s v="Sarhan"/>
    <x v="0"/>
    <d v="2017-02-22T00:00:00"/>
    <x v="5"/>
    <s v="Facilities/Engineering"/>
    <x v="3"/>
    <s v="South"/>
    <n v="2818"/>
    <n v="33816"/>
    <n v="2"/>
    <n v="4"/>
    <n v="0"/>
    <n v="8"/>
  </r>
  <r>
    <x v="392"/>
    <s v="Ahmad"/>
    <s v="Alqadi"/>
    <x v="0"/>
    <d v="2018-05-20T00:00:00"/>
    <x v="0"/>
    <s v="Quality Assurance"/>
    <x v="0"/>
    <s v="North"/>
    <n v="2257"/>
    <n v="27084"/>
    <n v="3"/>
    <n v="0"/>
    <n v="0"/>
    <n v="6"/>
  </r>
  <r>
    <x v="393"/>
    <s v="Husam"/>
    <s v="Albush"/>
    <x v="0"/>
    <d v="2020-04-23T00:00:00"/>
    <x v="1"/>
    <s v="Account Management"/>
    <x v="0"/>
    <s v="Main"/>
    <n v="1265"/>
    <n v="15180"/>
    <n v="3"/>
    <n v="0"/>
    <n v="0"/>
    <n v="5"/>
  </r>
  <r>
    <x v="394"/>
    <s v="Anas"/>
    <s v="Eabidin"/>
    <x v="0"/>
    <d v="2020-10-26T00:00:00"/>
    <x v="1"/>
    <s v="Manufacturing Admin"/>
    <x v="2"/>
    <s v="Main"/>
    <n v="2207"/>
    <n v="26484"/>
    <n v="3"/>
    <n v="2"/>
    <n v="0"/>
    <n v="0"/>
  </r>
  <r>
    <x v="395"/>
    <s v="Muhamad"/>
    <s v="Ebdalwahd"/>
    <x v="0"/>
    <d v="2019-02-04T00:00:00"/>
    <x v="0"/>
    <s v="Marketing"/>
    <x v="0"/>
    <s v="North"/>
    <n v="2806"/>
    <n v="33672"/>
    <n v="3"/>
    <n v="0"/>
    <n v="0"/>
    <n v="4"/>
  </r>
  <r>
    <x v="396"/>
    <s v="Khalid"/>
    <s v="Iibrahim"/>
    <x v="0"/>
    <d v="2017-02-15T00:00:00"/>
    <x v="5"/>
    <s v="Environmental Health/Safety"/>
    <x v="2"/>
    <s v="South"/>
    <n v="1521"/>
    <n v="18252"/>
    <n v="5"/>
    <n v="6"/>
    <n v="0"/>
    <n v="3"/>
  </r>
  <r>
    <x v="397"/>
    <s v="Muhamad"/>
    <s v="Aleazm"/>
    <x v="0"/>
    <d v="2018-04-07T00:00:00"/>
    <x v="0"/>
    <s v="Facilities/Engineering"/>
    <x v="0"/>
    <s v="South"/>
    <n v="1867"/>
    <n v="22404"/>
    <n v="3"/>
    <n v="0"/>
    <n v="0"/>
    <n v="0"/>
  </r>
  <r>
    <x v="398"/>
    <s v="Maya"/>
    <s v="Alhmwi"/>
    <x v="1"/>
    <d v="2018-12-10T00:00:00"/>
    <x v="0"/>
    <s v="Quality Control"/>
    <x v="1"/>
    <s v="North"/>
    <n v="2425"/>
    <n v="29100"/>
    <n v="5"/>
    <n v="0"/>
    <n v="0"/>
    <n v="10"/>
  </r>
  <r>
    <x v="399"/>
    <s v="Basil"/>
    <s v="Khiat"/>
    <x v="0"/>
    <d v="2020-12-14T00:00:00"/>
    <x v="1"/>
    <s v="Marketing"/>
    <x v="1"/>
    <s v="Main"/>
    <n v="1758"/>
    <n v="21096"/>
    <n v="5"/>
    <n v="0"/>
    <n v="0"/>
    <n v="0"/>
  </r>
  <r>
    <x v="400"/>
    <s v="Muhamad"/>
    <s v="Zaydan"/>
    <x v="0"/>
    <d v="2020-12-26T00:00:00"/>
    <x v="1"/>
    <s v="Manufacturing"/>
    <x v="3"/>
    <s v="East"/>
    <n v="2832"/>
    <n v="33984"/>
    <n v="3"/>
    <n v="0"/>
    <n v="0"/>
    <n v="1"/>
  </r>
  <r>
    <x v="401"/>
    <s v="Randa"/>
    <s v="Alajw"/>
    <x v="1"/>
    <d v="2017-05-24T00:00:00"/>
    <x v="2"/>
    <s v="Marketing"/>
    <x v="0"/>
    <s v="North"/>
    <n v="1371"/>
    <n v="16452"/>
    <n v="1"/>
    <n v="1"/>
    <n v="0"/>
    <n v="8"/>
  </r>
  <r>
    <x v="402"/>
    <s v="Muhamad"/>
    <s v="Alghazi"/>
    <x v="0"/>
    <d v="2018-12-27T00:00:00"/>
    <x v="0"/>
    <s v="Marketing"/>
    <x v="0"/>
    <s v="East"/>
    <n v="2904"/>
    <n v="34848"/>
    <n v="5"/>
    <n v="6"/>
    <n v="0"/>
    <n v="3"/>
  </r>
  <r>
    <x v="403"/>
    <s v="Rahaf"/>
    <s v="Eijluni"/>
    <x v="1"/>
    <d v="2019-02-16T00:00:00"/>
    <x v="0"/>
    <s v="Product Development"/>
    <x v="4"/>
    <s v="Main"/>
    <n v="3285"/>
    <n v="39420"/>
    <n v="3"/>
    <n v="2"/>
    <n v="0"/>
    <n v="0"/>
  </r>
  <r>
    <x v="404"/>
    <s v="Sultan"/>
    <s v="Alhijar"/>
    <x v="0"/>
    <d v="2018-07-09T00:00:00"/>
    <x v="0"/>
    <s v="Facilities/Engineering"/>
    <x v="0"/>
    <s v="West"/>
    <n v="2964"/>
    <n v="35568"/>
    <n v="5"/>
    <n v="2"/>
    <n v="0"/>
    <n v="45"/>
  </r>
  <r>
    <x v="405"/>
    <s v="Asma"/>
    <s v="Sadqawi"/>
    <x v="1"/>
    <d v="2018-04-05T00:00:00"/>
    <x v="0"/>
    <s v="Account Management"/>
    <x v="2"/>
    <s v="North"/>
    <n v="974"/>
    <n v="11688"/>
    <n v="2"/>
    <n v="5"/>
    <n v="0"/>
    <n v="5"/>
  </r>
  <r>
    <x v="406"/>
    <s v="Fulla"/>
    <s v="Alkhalid"/>
    <x v="1"/>
    <d v="2019-04-24T00:00:00"/>
    <x v="4"/>
    <s v="Account Management"/>
    <x v="1"/>
    <s v="East"/>
    <n v="2607"/>
    <n v="31284"/>
    <n v="4.5"/>
    <n v="0"/>
    <n v="0"/>
    <n v="9"/>
  </r>
  <r>
    <x v="407"/>
    <s v="Lujin"/>
    <s v="Alaleppoy"/>
    <x v="1"/>
    <d v="2017-09-20T00:00:00"/>
    <x v="2"/>
    <s v="Quality Control"/>
    <x v="0"/>
    <s v="Main"/>
    <n v="1550"/>
    <n v="18600"/>
    <n v="1"/>
    <n v="0"/>
    <n v="0"/>
    <n v="3"/>
  </r>
  <r>
    <x v="408"/>
    <s v="Jihan"/>
    <s v="Alqudmani"/>
    <x v="1"/>
    <d v="2016-07-23T00:00:00"/>
    <x v="5"/>
    <s v="Sales"/>
    <x v="0"/>
    <s v="Main"/>
    <n v="1631"/>
    <n v="19572"/>
    <n v="4.5"/>
    <n v="0"/>
    <n v="0"/>
    <n v="4"/>
  </r>
  <r>
    <x v="409"/>
    <s v="Anwar"/>
    <s v="Alkhayran"/>
    <x v="0"/>
    <d v="2019-02-10T00:00:00"/>
    <x v="0"/>
    <s v="Marketing"/>
    <x v="0"/>
    <s v="East"/>
    <n v="3003"/>
    <n v="36036"/>
    <n v="1"/>
    <n v="6"/>
    <n v="1"/>
    <n v="6"/>
  </r>
  <r>
    <x v="410"/>
    <s v="Qasim"/>
    <s v="Muhamad"/>
    <x v="0"/>
    <d v="2019-12-01T00:00:00"/>
    <x v="4"/>
    <s v="Manufacturing"/>
    <x v="0"/>
    <s v="West"/>
    <n v="913"/>
    <n v="10956"/>
    <n v="5"/>
    <n v="0"/>
    <n v="0"/>
    <n v="12"/>
  </r>
  <r>
    <x v="411"/>
    <s v="Samir"/>
    <s v="Altaynawi"/>
    <x v="0"/>
    <d v="2017-07-18T00:00:00"/>
    <x v="2"/>
    <s v="Facilities/Engineering"/>
    <x v="0"/>
    <s v="South"/>
    <n v="2076"/>
    <n v="24912"/>
    <n v="3"/>
    <n v="0"/>
    <n v="0"/>
    <n v="4"/>
  </r>
  <r>
    <x v="412"/>
    <s v="Alaa"/>
    <s v="Hafiz"/>
    <x v="1"/>
    <d v="2020-06-26T00:00:00"/>
    <x v="1"/>
    <s v="Facilities/Engineering"/>
    <x v="0"/>
    <s v="West"/>
    <n v="2749"/>
    <n v="32988"/>
    <n v="3"/>
    <n v="5"/>
    <n v="4"/>
    <n v="0"/>
  </r>
  <r>
    <x v="413"/>
    <s v="Kamilia"/>
    <s v="Sydu"/>
    <x v="1"/>
    <d v="2019-01-25T00:00:00"/>
    <x v="0"/>
    <s v="IT"/>
    <x v="1"/>
    <s v="West"/>
    <n v="2617"/>
    <n v="31404"/>
    <n v="4.5"/>
    <n v="1"/>
    <n v="0"/>
    <n v="5"/>
  </r>
  <r>
    <x v="414"/>
    <s v="Ali"/>
    <s v="Marwan"/>
    <x v="0"/>
    <d v="2019-08-20T00:00:00"/>
    <x v="4"/>
    <s v="IT"/>
    <x v="2"/>
    <s v="North"/>
    <n v="1680"/>
    <n v="20160"/>
    <n v="5"/>
    <n v="1"/>
    <n v="0"/>
    <n v="35"/>
  </r>
  <r>
    <x v="415"/>
    <s v="Mahir"/>
    <s v="Almarstani"/>
    <x v="0"/>
    <d v="2020-03-09T00:00:00"/>
    <x v="1"/>
    <s v="Green Building"/>
    <x v="0"/>
    <s v="Main"/>
    <n v="2824"/>
    <n v="33888"/>
    <n v="3"/>
    <n v="3"/>
    <n v="0"/>
    <n v="3"/>
  </r>
  <r>
    <x v="416"/>
    <s v="Rwad"/>
    <s v="Alddahir"/>
    <x v="1"/>
    <d v="2017-09-26T00:00:00"/>
    <x v="2"/>
    <s v="Product Development"/>
    <x v="0"/>
    <s v="West"/>
    <n v="1646"/>
    <n v="19752"/>
    <n v="5"/>
    <n v="0"/>
    <n v="0"/>
    <n v="7"/>
  </r>
  <r>
    <x v="417"/>
    <s v="Jury"/>
    <s v="Eabuwd"/>
    <x v="1"/>
    <d v="2018-12-04T00:00:00"/>
    <x v="0"/>
    <s v="Quality Control"/>
    <x v="0"/>
    <s v="South"/>
    <n v="979"/>
    <n v="11748"/>
    <n v="5"/>
    <n v="5"/>
    <n v="0"/>
    <n v="8"/>
  </r>
  <r>
    <x v="418"/>
    <s v="Sayban"/>
    <s v="Musur"/>
    <x v="1"/>
    <d v="2019-01-02T00:00:00"/>
    <x v="0"/>
    <s v="Quality Assurance"/>
    <x v="3"/>
    <s v="West"/>
    <n v="1274"/>
    <n v="15288"/>
    <n v="3"/>
    <n v="0"/>
    <n v="0"/>
    <n v="7"/>
  </r>
  <r>
    <x v="419"/>
    <s v="Diana"/>
    <s v="Muayid"/>
    <x v="1"/>
    <d v="2019-10-27T00:00:00"/>
    <x v="4"/>
    <s v="Facilities/Engineering"/>
    <x v="0"/>
    <s v="North"/>
    <n v="2715"/>
    <n v="32580"/>
    <n v="2"/>
    <n v="0"/>
    <n v="0"/>
    <n v="3"/>
  </r>
  <r>
    <x v="420"/>
    <s v="Lbyb"/>
    <s v="Fahd"/>
    <x v="0"/>
    <d v="2019-11-12T00:00:00"/>
    <x v="4"/>
    <s v="Manufacturing"/>
    <x v="3"/>
    <s v="North"/>
    <n v="1158"/>
    <n v="13896"/>
    <n v="5"/>
    <n v="0"/>
    <n v="0"/>
    <n v="0"/>
  </r>
  <r>
    <x v="421"/>
    <s v="Bashshar"/>
    <s v="Bilul"/>
    <x v="0"/>
    <d v="2018-08-02T00:00:00"/>
    <x v="0"/>
    <s v="Marketing"/>
    <x v="0"/>
    <s v="East"/>
    <n v="1986"/>
    <n v="23832"/>
    <n v="3"/>
    <n v="1"/>
    <n v="0"/>
    <n v="14"/>
  </r>
  <r>
    <x v="422"/>
    <s v="Ali"/>
    <s v="Alnuwri"/>
    <x v="0"/>
    <d v="2019-12-27T00:00:00"/>
    <x v="4"/>
    <s v="Manufacturing"/>
    <x v="1"/>
    <s v="South"/>
    <n v="3299"/>
    <n v="39588"/>
    <n v="5"/>
    <n v="1"/>
    <n v="0"/>
    <n v="0"/>
  </r>
  <r>
    <x v="423"/>
    <s v="Salim"/>
    <s v="Aleabd"/>
    <x v="0"/>
    <d v="2017-11-23T00:00:00"/>
    <x v="2"/>
    <s v="Quality Control"/>
    <x v="0"/>
    <s v="Main"/>
    <n v="2405"/>
    <n v="28860"/>
    <n v="5"/>
    <n v="0"/>
    <n v="0"/>
    <n v="97"/>
  </r>
  <r>
    <x v="424"/>
    <s v="Abd Alruhmin"/>
    <s v="Allaham"/>
    <x v="0"/>
    <d v="2020-07-15T00:00:00"/>
    <x v="1"/>
    <s v="Facilities/Engineering"/>
    <x v="0"/>
    <s v="North"/>
    <n v="2205"/>
    <n v="26460"/>
    <n v="3"/>
    <n v="0"/>
    <n v="0"/>
    <n v="4"/>
  </r>
  <r>
    <x v="425"/>
    <s v="Muhamad"/>
    <s v="Raft"/>
    <x v="0"/>
    <d v="2016-07-11T00:00:00"/>
    <x v="5"/>
    <s v="Manufacturing"/>
    <x v="0"/>
    <s v="East"/>
    <n v="2651"/>
    <n v="31812"/>
    <n v="3"/>
    <n v="0"/>
    <n v="0"/>
    <n v="6"/>
  </r>
  <r>
    <x v="426"/>
    <s v="Ahmad"/>
    <s v="Shakir"/>
    <x v="0"/>
    <d v="2019-05-30T00:00:00"/>
    <x v="4"/>
    <s v="Account Management"/>
    <x v="0"/>
    <s v="North"/>
    <n v="1693"/>
    <n v="20316"/>
    <n v="4.5"/>
    <n v="2"/>
    <n v="5"/>
    <n v="6"/>
  </r>
  <r>
    <x v="427"/>
    <s v="Rasha"/>
    <s v="Asead"/>
    <x v="1"/>
    <d v="2019-12-22T00:00:00"/>
    <x v="4"/>
    <s v="Sales"/>
    <x v="0"/>
    <s v="Main"/>
    <n v="1690"/>
    <n v="20280"/>
    <n v="1"/>
    <n v="0"/>
    <n v="0"/>
    <n v="6"/>
  </r>
  <r>
    <x v="428"/>
    <s v="Omar"/>
    <s v="Alwurhani"/>
    <x v="0"/>
    <d v="2019-02-03T00:00:00"/>
    <x v="0"/>
    <s v="Account Management"/>
    <x v="0"/>
    <s v="Main"/>
    <n v="766"/>
    <n v="9192"/>
    <n v="3"/>
    <n v="0"/>
    <n v="0"/>
    <n v="5"/>
  </r>
  <r>
    <x v="429"/>
    <s v="Ayham"/>
    <s v="Kharbutli"/>
    <x v="0"/>
    <d v="2019-07-15T00:00:00"/>
    <x v="4"/>
    <s v="Research/Development"/>
    <x v="0"/>
    <s v="South"/>
    <n v="2542"/>
    <n v="30504"/>
    <n v="3"/>
    <n v="1"/>
    <n v="0"/>
    <n v="3"/>
  </r>
  <r>
    <x v="430"/>
    <s v="Sahar"/>
    <s v="Jaridiun"/>
    <x v="1"/>
    <d v="2016-10-11T00:00:00"/>
    <x v="5"/>
    <s v="Professional Training Group"/>
    <x v="2"/>
    <s v="East"/>
    <n v="1966"/>
    <n v="23592"/>
    <n v="4.5"/>
    <n v="0"/>
    <n v="0"/>
    <n v="8"/>
  </r>
  <r>
    <x v="431"/>
    <s v="Muhamad"/>
    <s v="Tamur"/>
    <x v="0"/>
    <d v="2019-07-06T00:00:00"/>
    <x v="4"/>
    <s v="Manufacturing"/>
    <x v="0"/>
    <s v="Main"/>
    <n v="2977"/>
    <n v="35724"/>
    <n v="4.5"/>
    <n v="0"/>
    <n v="0"/>
    <n v="8"/>
  </r>
  <r>
    <x v="432"/>
    <s v="Ayham"/>
    <s v="Alkhlf"/>
    <x v="0"/>
    <d v="2017-11-04T00:00:00"/>
    <x v="2"/>
    <s v="Quality Assurance"/>
    <x v="2"/>
    <s v="Main"/>
    <n v="1404"/>
    <n v="16848"/>
    <n v="1"/>
    <n v="5"/>
    <n v="0"/>
    <n v="10"/>
  </r>
  <r>
    <x v="433"/>
    <s v="Emar"/>
    <s v="Eisaf"/>
    <x v="1"/>
    <d v="2018-02-05T00:00:00"/>
    <x v="2"/>
    <s v="Quality Control"/>
    <x v="3"/>
    <s v="North"/>
    <n v="1848"/>
    <n v="22176"/>
    <n v="3"/>
    <n v="0"/>
    <n v="0"/>
    <n v="2"/>
  </r>
  <r>
    <x v="434"/>
    <s v="Iin"/>
    <s v="Bitahish"/>
    <x v="1"/>
    <d v="2020-09-08T00:00:00"/>
    <x v="1"/>
    <s v="Manufacturing"/>
    <x v="0"/>
    <s v="North"/>
    <n v="2069"/>
    <n v="24828"/>
    <n v="3"/>
    <n v="2"/>
    <n v="5"/>
    <n v="6"/>
  </r>
  <r>
    <x v="435"/>
    <s v="Abdalrhim"/>
    <s v="Eimaruh"/>
    <x v="0"/>
    <d v="2020-10-18T00:00:00"/>
    <x v="1"/>
    <s v="Quality Assurance"/>
    <x v="1"/>
    <s v="North"/>
    <n v="1072"/>
    <n v="12864"/>
    <n v="4.5"/>
    <n v="0"/>
    <n v="0"/>
    <n v="6"/>
  </r>
  <r>
    <x v="436"/>
    <s v="Bashaer"/>
    <s v="Hadalah"/>
    <x v="1"/>
    <d v="2019-12-14T00:00:00"/>
    <x v="4"/>
    <s v="Product Development"/>
    <x v="0"/>
    <s v="Main"/>
    <n v="1984"/>
    <n v="23808"/>
    <n v="1"/>
    <n v="1"/>
    <n v="0"/>
    <n v="8"/>
  </r>
  <r>
    <x v="437"/>
    <s v="Sana"/>
    <s v="Maeruf"/>
    <x v="1"/>
    <d v="2020-08-21T00:00:00"/>
    <x v="1"/>
    <s v="Account Management"/>
    <x v="0"/>
    <s v="North"/>
    <n v="999"/>
    <n v="11988"/>
    <n v="1"/>
    <n v="5"/>
    <n v="0"/>
    <n v="61"/>
  </r>
  <r>
    <x v="438"/>
    <s v="Amir"/>
    <s v="Alnuwnu"/>
    <x v="0"/>
    <d v="2020-05-15T00:00:00"/>
    <x v="1"/>
    <s v="Quality Control"/>
    <x v="3"/>
    <s v="West"/>
    <n v="2915"/>
    <n v="34980"/>
    <n v="3"/>
    <n v="0"/>
    <n v="0"/>
    <n v="5"/>
  </r>
  <r>
    <x v="439"/>
    <s v="Salim"/>
    <s v="Albarghali"/>
    <x v="0"/>
    <d v="2019-11-01T00:00:00"/>
    <x v="4"/>
    <s v="Facilities/Engineering"/>
    <x v="0"/>
    <s v="East"/>
    <n v="3158"/>
    <n v="37896"/>
    <n v="4.5"/>
    <n v="3"/>
    <n v="0"/>
    <n v="7"/>
  </r>
  <r>
    <x v="440"/>
    <s v="Iin"/>
    <s v="Murad"/>
    <x v="1"/>
    <d v="2017-08-30T00:00:00"/>
    <x v="2"/>
    <s v="IT"/>
    <x v="0"/>
    <s v="North"/>
    <n v="711"/>
    <n v="8532"/>
    <n v="5"/>
    <n v="0"/>
    <n v="0"/>
    <n v="10"/>
  </r>
  <r>
    <x v="441"/>
    <s v="Baha Aldiyn"/>
    <s v="Marzuq"/>
    <x v="0"/>
    <d v="2018-04-05T00:00:00"/>
    <x v="0"/>
    <s v="Quality Control"/>
    <x v="1"/>
    <s v="West"/>
    <n v="899"/>
    <n v="10788"/>
    <n v="5"/>
    <n v="6"/>
    <n v="0"/>
    <n v="38"/>
  </r>
  <r>
    <x v="442"/>
    <s v="Abd Alruhmin"/>
    <s v="Hamj"/>
    <x v="0"/>
    <d v="2020-03-10T00:00:00"/>
    <x v="1"/>
    <s v="Account Management"/>
    <x v="0"/>
    <s v="Main"/>
    <n v="2571"/>
    <n v="30852"/>
    <n v="3"/>
    <n v="1"/>
    <n v="0"/>
    <n v="6"/>
  </r>
  <r>
    <x v="443"/>
    <s v="Ahmad"/>
    <s v="Bradey"/>
    <x v="0"/>
    <d v="2018-06-14T00:00:00"/>
    <x v="0"/>
    <s v="Quality Control"/>
    <x v="0"/>
    <s v="East"/>
    <n v="2437"/>
    <n v="29244"/>
    <n v="5"/>
    <n v="0"/>
    <n v="4"/>
    <n v="8"/>
  </r>
  <r>
    <x v="444"/>
    <s v="Sabah"/>
    <s v="Qadish"/>
    <x v="1"/>
    <d v="2019-03-18T00:00:00"/>
    <x v="4"/>
    <s v="Manufacturing"/>
    <x v="0"/>
    <s v="East"/>
    <n v="2453"/>
    <n v="29436"/>
    <n v="5"/>
    <n v="1"/>
    <n v="0"/>
    <n v="6"/>
  </r>
  <r>
    <x v="445"/>
    <s v="Asra"/>
    <s v="Almisri"/>
    <x v="1"/>
    <d v="2018-06-28T00:00:00"/>
    <x v="0"/>
    <s v="Manufacturing"/>
    <x v="0"/>
    <s v="East"/>
    <n v="1839"/>
    <n v="22068"/>
    <n v="5"/>
    <n v="1"/>
    <n v="0"/>
    <n v="9"/>
  </r>
  <r>
    <x v="446"/>
    <s v="Faras"/>
    <s v="Kawaara"/>
    <x v="0"/>
    <d v="2017-02-21T00:00:00"/>
    <x v="5"/>
    <s v="Quality Control"/>
    <x v="2"/>
    <s v="West"/>
    <n v="2306"/>
    <n v="27672"/>
    <n v="1"/>
    <n v="6"/>
    <n v="0"/>
    <n v="7"/>
  </r>
  <r>
    <x v="447"/>
    <s v="Muhamad"/>
    <s v="Abunfis"/>
    <x v="0"/>
    <d v="2018-06-18T00:00:00"/>
    <x v="0"/>
    <s v="Product Development"/>
    <x v="3"/>
    <s v="Main"/>
    <n v="970"/>
    <n v="11640"/>
    <n v="1"/>
    <n v="0"/>
    <n v="0"/>
    <n v="5"/>
  </r>
  <r>
    <x v="448"/>
    <s v="Lawiy"/>
    <s v="Shiah"/>
    <x v="0"/>
    <d v="2018-05-04T00:00:00"/>
    <x v="0"/>
    <s v="Quality Assurance"/>
    <x v="0"/>
    <s v="North"/>
    <n v="3140"/>
    <n v="37680"/>
    <n v="3"/>
    <n v="6"/>
    <n v="1"/>
    <n v="5"/>
  </r>
  <r>
    <x v="449"/>
    <s v="Rama"/>
    <s v="Alsaghir"/>
    <x v="1"/>
    <d v="2017-04-10T00:00:00"/>
    <x v="2"/>
    <s v="Professional Training Group"/>
    <x v="0"/>
    <s v="Main"/>
    <n v="1176"/>
    <n v="14112"/>
    <n v="5"/>
    <n v="2"/>
    <n v="0"/>
    <n v="6"/>
  </r>
  <r>
    <x v="450"/>
    <s v="Ahmad"/>
    <s v="Qadimati"/>
    <x v="0"/>
    <d v="2019-08-21T00:00:00"/>
    <x v="4"/>
    <s v="Facilities/Engineering"/>
    <x v="2"/>
    <s v="East"/>
    <n v="2742"/>
    <n v="32904"/>
    <n v="5"/>
    <n v="0"/>
    <n v="0"/>
    <n v="9"/>
  </r>
  <r>
    <x v="451"/>
    <s v="Qays"/>
    <s v="Dahna"/>
    <x v="0"/>
    <d v="2017-09-18T00:00:00"/>
    <x v="2"/>
    <s v="Quality Control"/>
    <x v="0"/>
    <s v="West"/>
    <n v="734"/>
    <n v="8808"/>
    <n v="3"/>
    <n v="0"/>
    <n v="0"/>
    <n v="0"/>
  </r>
  <r>
    <x v="452"/>
    <s v="Raja"/>
    <s v="Eaziza"/>
    <x v="0"/>
    <d v="2018-02-02T00:00:00"/>
    <x v="2"/>
    <s v="Manufacturing"/>
    <x v="3"/>
    <s v="Main"/>
    <n v="894"/>
    <n v="10728"/>
    <n v="3"/>
    <n v="6"/>
    <n v="0"/>
    <n v="93"/>
  </r>
  <r>
    <x v="453"/>
    <s v="Emar"/>
    <s v="Nakaash"/>
    <x v="1"/>
    <d v="2020-11-09T00:00:00"/>
    <x v="1"/>
    <s v="Account Management"/>
    <x v="1"/>
    <s v="East"/>
    <n v="2640"/>
    <n v="31680"/>
    <n v="4.5"/>
    <n v="1"/>
    <n v="5"/>
    <n v="4"/>
  </r>
  <r>
    <x v="454"/>
    <s v="Ranya"/>
    <s v="Khuluf"/>
    <x v="1"/>
    <d v="2019-02-01T00:00:00"/>
    <x v="0"/>
    <s v="Manufacturing"/>
    <x v="0"/>
    <s v="North"/>
    <n v="1059"/>
    <n v="12708"/>
    <n v="2"/>
    <n v="0"/>
    <n v="0"/>
    <n v="14"/>
  </r>
  <r>
    <x v="455"/>
    <s v="Kinda"/>
    <s v="Zaki"/>
    <x v="1"/>
    <d v="2018-06-09T00:00:00"/>
    <x v="0"/>
    <s v="Product Development"/>
    <x v="4"/>
    <s v="North"/>
    <n v="3337"/>
    <n v="40044"/>
    <n v="3"/>
    <n v="0"/>
    <n v="2"/>
    <n v="6"/>
  </r>
  <r>
    <x v="456"/>
    <s v="Muhamad"/>
    <s v="Asamh Tubae"/>
    <x v="0"/>
    <d v="2020-08-20T00:00:00"/>
    <x v="1"/>
    <s v="Quality Assurance"/>
    <x v="0"/>
    <s v="North"/>
    <n v="3154"/>
    <n v="37848"/>
    <n v="3"/>
    <n v="0"/>
    <n v="0"/>
    <n v="6"/>
  </r>
  <r>
    <x v="457"/>
    <s v="Ahmad"/>
    <s v="Daeas"/>
    <x v="0"/>
    <d v="2019-02-12T00:00:00"/>
    <x v="0"/>
    <s v="Facilities/Engineering"/>
    <x v="0"/>
    <s v="Main"/>
    <n v="1618"/>
    <n v="19416"/>
    <n v="3"/>
    <n v="1"/>
    <n v="0"/>
    <n v="1"/>
  </r>
  <r>
    <x v="458"/>
    <s v="Muhamad"/>
    <s v="Shadi Alkhiat"/>
    <x v="0"/>
    <d v="2017-02-20T00:00:00"/>
    <x v="5"/>
    <s v="Quality Assurance"/>
    <x v="2"/>
    <s v="Main"/>
    <n v="1248"/>
    <n v="14976"/>
    <n v="5"/>
    <n v="0"/>
    <n v="6"/>
    <n v="7"/>
  </r>
  <r>
    <x v="459"/>
    <s v="Omaimah"/>
    <s v="Tqi Aldiyn"/>
    <x v="1"/>
    <d v="2017-08-31T00:00:00"/>
    <x v="2"/>
    <s v="Quality Assurance"/>
    <x v="0"/>
    <s v="South"/>
    <n v="1523"/>
    <n v="18276"/>
    <n v="3"/>
    <n v="6"/>
    <n v="5"/>
    <n v="4"/>
  </r>
  <r>
    <x v="460"/>
    <s v="Tahani"/>
    <s v="Yasir"/>
    <x v="1"/>
    <d v="2019-01-10T00:00:00"/>
    <x v="0"/>
    <s v="Manufacturing"/>
    <x v="0"/>
    <s v="North"/>
    <n v="1275"/>
    <n v="15300"/>
    <n v="4.5"/>
    <n v="3"/>
    <n v="0"/>
    <n v="9"/>
  </r>
  <r>
    <x v="461"/>
    <s v="Hasan"/>
    <s v="Alfywmi"/>
    <x v="0"/>
    <d v="2019-01-07T00:00:00"/>
    <x v="0"/>
    <s v="Account Management"/>
    <x v="3"/>
    <s v="North"/>
    <n v="1549"/>
    <n v="18588"/>
    <n v="3"/>
    <n v="2"/>
    <n v="0"/>
    <n v="5"/>
  </r>
  <r>
    <x v="462"/>
    <s v="Zahir"/>
    <s v="Zarie"/>
    <x v="0"/>
    <d v="2019-06-02T00:00:00"/>
    <x v="4"/>
    <s v="Professional Training Group"/>
    <x v="1"/>
    <s v="East"/>
    <n v="1786"/>
    <n v="21432"/>
    <n v="3"/>
    <n v="4"/>
    <n v="4"/>
    <n v="1"/>
  </r>
  <r>
    <x v="463"/>
    <s v="Muhamad"/>
    <s v="Eaqad"/>
    <x v="0"/>
    <d v="2019-04-02T00:00:00"/>
    <x v="4"/>
    <s v="Quality Assurance"/>
    <x v="1"/>
    <s v="Main"/>
    <n v="1908"/>
    <n v="22896"/>
    <n v="1"/>
    <n v="0"/>
    <n v="5"/>
    <n v="7"/>
  </r>
  <r>
    <x v="464"/>
    <s v="Ahmad"/>
    <s v="Hamuwd"/>
    <x v="0"/>
    <d v="2018-05-29T00:00:00"/>
    <x v="0"/>
    <s v="Facilities/Engineering"/>
    <x v="2"/>
    <s v="North"/>
    <n v="2321"/>
    <n v="27852"/>
    <n v="5"/>
    <n v="0"/>
    <n v="0"/>
    <n v="6"/>
  </r>
  <r>
    <x v="465"/>
    <s v="Ismaeil"/>
    <s v="Jdwe"/>
    <x v="0"/>
    <d v="2020-10-05T00:00:00"/>
    <x v="1"/>
    <s v="Facilities/Engineering"/>
    <x v="2"/>
    <s v="Main"/>
    <n v="899"/>
    <n v="10788"/>
    <n v="1"/>
    <n v="4"/>
    <n v="0"/>
    <n v="27"/>
  </r>
  <r>
    <x v="466"/>
    <s v="Muhamad"/>
    <s v="Saeid Alzarey"/>
    <x v="0"/>
    <d v="2019-12-23T00:00:00"/>
    <x v="4"/>
    <s v="Professional Training Group"/>
    <x v="0"/>
    <s v="North"/>
    <n v="1168"/>
    <n v="14016"/>
    <n v="5"/>
    <n v="0"/>
    <n v="0"/>
    <n v="8"/>
  </r>
  <r>
    <x v="467"/>
    <s v="Bakr"/>
    <s v="Eubdallah"/>
    <x v="0"/>
    <d v="2018-04-04T00:00:00"/>
    <x v="0"/>
    <s v="Environmental Compliance"/>
    <x v="0"/>
    <s v="Main"/>
    <n v="2169"/>
    <n v="26028"/>
    <n v="1"/>
    <n v="4"/>
    <n v="0"/>
    <n v="2"/>
  </r>
  <r>
    <x v="468"/>
    <s v="Muhamad"/>
    <s v="Basil"/>
    <x v="0"/>
    <d v="2020-03-10T00:00:00"/>
    <x v="1"/>
    <s v="Human Resources"/>
    <x v="4"/>
    <s v="Main"/>
    <n v="2819"/>
    <n v="33828"/>
    <n v="4.5"/>
    <n v="5"/>
    <n v="0"/>
    <n v="51"/>
  </r>
  <r>
    <x v="469"/>
    <s v="Ahmad"/>
    <s v="Alnajar"/>
    <x v="0"/>
    <d v="2018-10-30T00:00:00"/>
    <x v="0"/>
    <s v="IT"/>
    <x v="2"/>
    <s v="North"/>
    <n v="847"/>
    <n v="10164"/>
    <n v="3"/>
    <n v="0"/>
    <n v="0"/>
    <n v="3"/>
  </r>
  <r>
    <x v="470"/>
    <s v="Muhamad"/>
    <s v="Alsaman"/>
    <x v="0"/>
    <d v="2020-03-10T00:00:00"/>
    <x v="1"/>
    <s v="Account Management"/>
    <x v="0"/>
    <s v="West"/>
    <n v="2308"/>
    <n v="27696"/>
    <n v="2"/>
    <n v="0"/>
    <n v="0"/>
    <n v="13"/>
  </r>
  <r>
    <x v="471"/>
    <s v="Lina"/>
    <s v="Wayly"/>
    <x v="1"/>
    <d v="2018-12-01T00:00:00"/>
    <x v="0"/>
    <s v="Manufacturing"/>
    <x v="0"/>
    <s v="East"/>
    <n v="1692"/>
    <n v="20304"/>
    <n v="4.5"/>
    <n v="4"/>
    <n v="0"/>
    <n v="6"/>
  </r>
  <r>
    <x v="472"/>
    <s v="Raghid"/>
    <s v="Hutayniun"/>
    <x v="0"/>
    <d v="2018-02-28T00:00:00"/>
    <x v="0"/>
    <s v="Quality Assurance"/>
    <x v="0"/>
    <s v="Main"/>
    <n v="1372"/>
    <n v="16464"/>
    <n v="1"/>
    <n v="0"/>
    <n v="0"/>
    <n v="4"/>
  </r>
  <r>
    <x v="473"/>
    <s v="Ruba"/>
    <s v="Alsiraj"/>
    <x v="1"/>
    <d v="2019-06-01T00:00:00"/>
    <x v="4"/>
    <s v="Account Management"/>
    <x v="0"/>
    <s v="East"/>
    <n v="2594"/>
    <n v="31128"/>
    <n v="3"/>
    <n v="5"/>
    <n v="0"/>
    <n v="0"/>
  </r>
  <r>
    <x v="474"/>
    <s v="Adnan"/>
    <s v="Allaadhiqanii"/>
    <x v="0"/>
    <d v="2018-05-17T00:00:00"/>
    <x v="0"/>
    <s v="Quality Control"/>
    <x v="0"/>
    <s v="North"/>
    <n v="1082"/>
    <n v="12984"/>
    <n v="5"/>
    <n v="1"/>
    <n v="4"/>
    <n v="8"/>
  </r>
  <r>
    <x v="475"/>
    <s v="Muhamad"/>
    <s v="Shaeban"/>
    <x v="0"/>
    <d v="2018-11-09T00:00:00"/>
    <x v="0"/>
    <s v="Manufacturing"/>
    <x v="0"/>
    <s v="West"/>
    <n v="1929"/>
    <n v="23148"/>
    <n v="5"/>
    <n v="3"/>
    <n v="0"/>
    <n v="43"/>
  </r>
  <r>
    <x v="476"/>
    <s v="Ghyath"/>
    <s v="Abu"/>
    <x v="0"/>
    <d v="2019-09-12T00:00:00"/>
    <x v="4"/>
    <s v="Manufacturing"/>
    <x v="1"/>
    <s v="Main"/>
    <n v="1883"/>
    <n v="22596"/>
    <n v="3"/>
    <n v="3"/>
    <n v="0"/>
    <n v="3"/>
  </r>
  <r>
    <x v="477"/>
    <s v="Basil"/>
    <s v="Farahat"/>
    <x v="0"/>
    <d v="2019-05-09T00:00:00"/>
    <x v="4"/>
    <s v="Account Management"/>
    <x v="2"/>
    <s v="West"/>
    <n v="874"/>
    <n v="10488"/>
    <n v="3"/>
    <n v="0"/>
    <n v="0"/>
    <n v="7"/>
  </r>
  <r>
    <x v="478"/>
    <s v="Khalid"/>
    <s v="Siriul"/>
    <x v="0"/>
    <d v="2016-08-21T00:00:00"/>
    <x v="5"/>
    <s v="Quality Control"/>
    <x v="1"/>
    <s v="West"/>
    <n v="2780"/>
    <n v="33360"/>
    <n v="3"/>
    <n v="3"/>
    <n v="0"/>
    <n v="2"/>
  </r>
  <r>
    <x v="479"/>
    <s v="Salah Aldiyn"/>
    <s v="Salayk"/>
    <x v="0"/>
    <d v="2020-01-02T00:00:00"/>
    <x v="4"/>
    <s v="IT"/>
    <x v="3"/>
    <s v="South"/>
    <n v="1980"/>
    <n v="23760"/>
    <n v="2"/>
    <n v="3"/>
    <n v="0"/>
    <n v="0"/>
  </r>
  <r>
    <x v="480"/>
    <s v="Bilal"/>
    <s v="Einziin"/>
    <x v="0"/>
    <d v="2020-01-02T00:00:00"/>
    <x v="4"/>
    <s v="Major Mfg Projects"/>
    <x v="3"/>
    <s v="Main"/>
    <n v="2611"/>
    <n v="31332"/>
    <n v="5"/>
    <n v="4"/>
    <n v="0"/>
    <n v="9"/>
  </r>
  <r>
    <x v="481"/>
    <s v="Abdalrhmin"/>
    <s v="Aljuju"/>
    <x v="0"/>
    <d v="2018-02-10T00:00:00"/>
    <x v="2"/>
    <s v="Human Resources"/>
    <x v="3"/>
    <s v="East"/>
    <n v="1881"/>
    <n v="22572"/>
    <n v="5"/>
    <n v="1"/>
    <n v="0"/>
    <n v="1"/>
  </r>
  <r>
    <x v="482"/>
    <s v="Lawy"/>
    <s v="Nadaf"/>
    <x v="0"/>
    <d v="2016-06-09T00:00:00"/>
    <x v="5"/>
    <s v="Manufacturing"/>
    <x v="0"/>
    <s v="West"/>
    <n v="1517"/>
    <n v="18204"/>
    <n v="5"/>
    <n v="4"/>
    <n v="0"/>
    <n v="6"/>
  </r>
  <r>
    <x v="483"/>
    <s v="Ali"/>
    <s v="Muhamad"/>
    <x v="0"/>
    <d v="2019-12-26T00:00:00"/>
    <x v="4"/>
    <s v="Product Development"/>
    <x v="0"/>
    <s v="West"/>
    <n v="1459"/>
    <n v="17508"/>
    <n v="4.5"/>
    <n v="0"/>
    <n v="0"/>
    <n v="10"/>
  </r>
  <r>
    <x v="484"/>
    <s v="Mahir"/>
    <s v="Bikar"/>
    <x v="0"/>
    <d v="2019-10-23T00:00:00"/>
    <x v="4"/>
    <s v="Professional Training Group"/>
    <x v="1"/>
    <s v="Main"/>
    <n v="2383"/>
    <n v="28596"/>
    <n v="3"/>
    <n v="0"/>
    <n v="0"/>
    <n v="0"/>
  </r>
  <r>
    <x v="485"/>
    <s v="Iad"/>
    <s v="Alhusayn"/>
    <x v="0"/>
    <d v="2018-03-09T00:00:00"/>
    <x v="0"/>
    <s v="Quality Assurance"/>
    <x v="0"/>
    <s v="South"/>
    <n v="1420"/>
    <n v="17040"/>
    <n v="5"/>
    <n v="2"/>
    <n v="6"/>
    <n v="7"/>
  </r>
  <r>
    <x v="486"/>
    <s v="Husam"/>
    <s v="Ziada"/>
    <x v="0"/>
    <d v="2018-09-15T00:00:00"/>
    <x v="0"/>
    <s v="Major Mfg Projects"/>
    <x v="0"/>
    <s v="North"/>
    <n v="1382"/>
    <n v="16584"/>
    <n v="4.5"/>
    <n v="0"/>
    <n v="1"/>
    <n v="14"/>
  </r>
  <r>
    <x v="487"/>
    <s v="Ahmad"/>
    <s v="Eashur"/>
    <x v="0"/>
    <d v="2020-09-23T00:00:00"/>
    <x v="1"/>
    <s v="IT"/>
    <x v="2"/>
    <s v="West"/>
    <n v="1920"/>
    <n v="23040"/>
    <n v="5"/>
    <n v="0"/>
    <n v="5"/>
    <n v="1"/>
  </r>
  <r>
    <x v="488"/>
    <s v="Ahmad"/>
    <s v="Naqawuh"/>
    <x v="0"/>
    <d v="2020-09-17T00:00:00"/>
    <x v="1"/>
    <s v="Quality Assurance"/>
    <x v="0"/>
    <s v="North"/>
    <n v="1202"/>
    <n v="14424"/>
    <n v="4.5"/>
    <n v="0"/>
    <n v="0"/>
    <n v="92"/>
  </r>
  <r>
    <x v="489"/>
    <s v="Tamadur"/>
    <s v="Barghuth"/>
    <x v="1"/>
    <d v="2018-02-25T00:00:00"/>
    <x v="2"/>
    <s v="Marketing"/>
    <x v="1"/>
    <s v="West"/>
    <n v="1158"/>
    <n v="13896"/>
    <n v="5"/>
    <n v="0"/>
    <n v="0"/>
    <n v="7"/>
  </r>
  <r>
    <x v="490"/>
    <s v="Diea"/>
    <s v="Jazar"/>
    <x v="0"/>
    <d v="2020-01-20T00:00:00"/>
    <x v="4"/>
    <s v="Quality Control"/>
    <x v="0"/>
    <s v="North"/>
    <n v="1447"/>
    <n v="17364"/>
    <n v="3"/>
    <n v="0"/>
    <n v="0"/>
    <n v="7"/>
  </r>
  <r>
    <x v="491"/>
    <s v="Bashshar"/>
    <s v="Mareiun"/>
    <x v="0"/>
    <d v="2019-09-23T00:00:00"/>
    <x v="4"/>
    <s v="Sales"/>
    <x v="1"/>
    <s v="East"/>
    <n v="1598"/>
    <n v="19176"/>
    <n v="3"/>
    <n v="0"/>
    <n v="0"/>
    <n v="95"/>
  </r>
  <r>
    <x v="492"/>
    <s v="Abdaleziz"/>
    <s v="Eiwad"/>
    <x v="0"/>
    <d v="2020-05-23T00:00:00"/>
    <x v="1"/>
    <s v="Quality Assurance"/>
    <x v="2"/>
    <s v="East"/>
    <n v="1714"/>
    <n v="20568"/>
    <n v="5"/>
    <n v="6"/>
    <n v="0"/>
    <n v="11"/>
  </r>
  <r>
    <x v="493"/>
    <s v="Amir"/>
    <s v="Alkhawam"/>
    <x v="0"/>
    <d v="2017-10-30T00:00:00"/>
    <x v="2"/>
    <s v="Environmental Compliance"/>
    <x v="2"/>
    <s v="West"/>
    <n v="2994"/>
    <n v="35928"/>
    <n v="4.5"/>
    <n v="1"/>
    <n v="0"/>
    <n v="4"/>
  </r>
  <r>
    <x v="494"/>
    <s v="Alia"/>
    <s v="Maseud"/>
    <x v="0"/>
    <d v="2020-01-08T00:00:00"/>
    <x v="4"/>
    <s v="Manufacturing"/>
    <x v="1"/>
    <s v="East"/>
    <n v="2125"/>
    <n v="25500"/>
    <n v="4.5"/>
    <n v="6"/>
    <n v="0"/>
    <n v="6"/>
  </r>
  <r>
    <x v="495"/>
    <s v="Asra"/>
    <s v="Abuhani"/>
    <x v="1"/>
    <d v="2019-01-28T00:00:00"/>
    <x v="0"/>
    <s v="Quality Assurance"/>
    <x v="0"/>
    <s v="Main"/>
    <n v="3059"/>
    <n v="36708"/>
    <n v="4.5"/>
    <n v="5"/>
    <n v="0"/>
    <n v="9"/>
  </r>
  <r>
    <x v="496"/>
    <s v="Ahmad"/>
    <s v="Alshamy"/>
    <x v="0"/>
    <d v="2019-01-17T00:00:00"/>
    <x v="0"/>
    <s v="Account Management"/>
    <x v="2"/>
    <s v="Main"/>
    <n v="2077"/>
    <n v="24924"/>
    <n v="5"/>
    <n v="6"/>
    <n v="0"/>
    <n v="4"/>
  </r>
  <r>
    <x v="497"/>
    <s v="Baha"/>
    <s v="Eusqul"/>
    <x v="0"/>
    <d v="2018-09-08T00:00:00"/>
    <x v="0"/>
    <s v="Manufacturing"/>
    <x v="0"/>
    <s v="West"/>
    <n v="1962"/>
    <n v="23544"/>
    <n v="4.5"/>
    <n v="6"/>
    <n v="0"/>
    <n v="10"/>
  </r>
  <r>
    <x v="498"/>
    <s v="Muhamad"/>
    <s v="Hylmyh"/>
    <x v="0"/>
    <d v="2019-05-15T00:00:00"/>
    <x v="4"/>
    <s v="IT"/>
    <x v="0"/>
    <s v="North"/>
    <n v="1573"/>
    <n v="18876"/>
    <n v="3"/>
    <n v="6"/>
    <n v="0"/>
    <n v="2"/>
  </r>
  <r>
    <x v="499"/>
    <s v="Khadijah"/>
    <s v="Turkamani"/>
    <x v="1"/>
    <d v="2019-06-26T00:00:00"/>
    <x v="4"/>
    <s v="Account Management"/>
    <x v="1"/>
    <s v="North"/>
    <n v="882"/>
    <n v="10584"/>
    <n v="5"/>
    <n v="0"/>
    <n v="0"/>
    <n v="8"/>
  </r>
  <r>
    <x v="500"/>
    <s v="Asra"/>
    <s v="Jameah"/>
    <x v="1"/>
    <d v="2018-10-25T00:00:00"/>
    <x v="0"/>
    <s v="Manufacturing"/>
    <x v="0"/>
    <s v="West"/>
    <n v="1036"/>
    <n v="12432"/>
    <n v="5"/>
    <n v="0"/>
    <n v="6"/>
    <n v="2"/>
  </r>
  <r>
    <x v="501"/>
    <s v="Akram"/>
    <s v="Alhulwanii"/>
    <x v="0"/>
    <d v="2016-01-12T00:00:00"/>
    <x v="3"/>
    <s v="IT"/>
    <x v="0"/>
    <s v="East"/>
    <n v="2790"/>
    <n v="33480"/>
    <n v="1"/>
    <n v="1"/>
    <n v="0"/>
    <n v="8"/>
  </r>
  <r>
    <x v="502"/>
    <s v="Samir"/>
    <s v="Almisri"/>
    <x v="0"/>
    <d v="2019-08-16T00:00:00"/>
    <x v="4"/>
    <s v="Manufacturing"/>
    <x v="0"/>
    <s v="Main"/>
    <n v="1951"/>
    <n v="23412"/>
    <n v="4.5"/>
    <n v="1"/>
    <n v="0"/>
    <n v="8"/>
  </r>
  <r>
    <x v="503"/>
    <s v="Ahmad"/>
    <s v="Iidris"/>
    <x v="0"/>
    <d v="2018-07-08T00:00:00"/>
    <x v="0"/>
    <s v="Quality Control"/>
    <x v="0"/>
    <s v="Main"/>
    <n v="2255"/>
    <n v="27060"/>
    <n v="5"/>
    <n v="0"/>
    <n v="4"/>
    <n v="10"/>
  </r>
  <r>
    <x v="504"/>
    <s v="Khawla"/>
    <s v="Dawi"/>
    <x v="1"/>
    <d v="2017-06-17T00:00:00"/>
    <x v="2"/>
    <s v="Creative"/>
    <x v="0"/>
    <s v="East"/>
    <n v="3388"/>
    <n v="40656"/>
    <n v="3"/>
    <n v="3"/>
    <n v="0"/>
    <n v="0"/>
  </r>
  <r>
    <x v="505"/>
    <s v="Rayid"/>
    <s v="Zazana"/>
    <x v="0"/>
    <d v="2020-10-19T00:00:00"/>
    <x v="1"/>
    <s v="Marketing"/>
    <x v="0"/>
    <s v="West"/>
    <n v="707"/>
    <n v="8484"/>
    <n v="2"/>
    <n v="1"/>
    <n v="0"/>
    <n v="9"/>
  </r>
  <r>
    <x v="506"/>
    <s v="Razan"/>
    <s v="Iybw"/>
    <x v="1"/>
    <d v="2020-06-14T00:00:00"/>
    <x v="1"/>
    <s v="Environmental Compliance"/>
    <x v="0"/>
    <s v="Main"/>
    <n v="1161"/>
    <n v="13932"/>
    <n v="5"/>
    <n v="0"/>
    <n v="0"/>
    <n v="9"/>
  </r>
  <r>
    <x v="507"/>
    <s v="Jamil"/>
    <s v="Ghabur"/>
    <x v="0"/>
    <d v="2019-04-17T00:00:00"/>
    <x v="4"/>
    <s v="Quality Control"/>
    <x v="2"/>
    <s v="Main"/>
    <n v="1165"/>
    <n v="13980"/>
    <n v="5"/>
    <n v="0"/>
    <n v="0"/>
    <n v="9"/>
  </r>
  <r>
    <x v="508"/>
    <s v="Alaa"/>
    <s v="Sultan"/>
    <x v="1"/>
    <d v="2019-03-18T00:00:00"/>
    <x v="4"/>
    <s v="IT"/>
    <x v="2"/>
    <s v="Main"/>
    <n v="1351"/>
    <n v="16212"/>
    <n v="5"/>
    <n v="0"/>
    <n v="0"/>
    <n v="7"/>
  </r>
  <r>
    <x v="509"/>
    <s v="Sultan"/>
    <s v="Taysir"/>
    <x v="0"/>
    <d v="2016-10-06T00:00:00"/>
    <x v="5"/>
    <s v="Product Development"/>
    <x v="0"/>
    <s v="East"/>
    <n v="1406"/>
    <n v="16872"/>
    <n v="3"/>
    <n v="0"/>
    <n v="3"/>
    <n v="7"/>
  </r>
  <r>
    <x v="510"/>
    <s v="Hanan"/>
    <s v="Kurdiun"/>
    <x v="1"/>
    <d v="2019-01-08T00:00:00"/>
    <x v="0"/>
    <s v="Account Management"/>
    <x v="1"/>
    <s v="Main"/>
    <n v="1699"/>
    <n v="20388"/>
    <n v="5"/>
    <n v="0"/>
    <n v="2"/>
    <n v="5"/>
  </r>
  <r>
    <x v="511"/>
    <s v="Basil"/>
    <s v="Salih"/>
    <x v="0"/>
    <d v="2017-11-04T00:00:00"/>
    <x v="2"/>
    <s v="Facilities/Engineering"/>
    <x v="0"/>
    <s v="North"/>
    <n v="3007"/>
    <n v="36084"/>
    <n v="5"/>
    <n v="0"/>
    <n v="6"/>
    <n v="11"/>
  </r>
  <r>
    <x v="512"/>
    <s v="Rita"/>
    <s v="Dib"/>
    <x v="1"/>
    <d v="2020-06-26T00:00:00"/>
    <x v="1"/>
    <s v="Product Development"/>
    <x v="0"/>
    <s v="Main"/>
    <n v="879"/>
    <n v="10548"/>
    <n v="3"/>
    <n v="0"/>
    <n v="0"/>
    <n v="1"/>
  </r>
  <r>
    <x v="513"/>
    <s v="Muhamad"/>
    <s v="Alghush"/>
    <x v="0"/>
    <d v="2019-05-01T00:00:00"/>
    <x v="4"/>
    <s v="Quality Assurance"/>
    <x v="4"/>
    <s v="North"/>
    <n v="2537"/>
    <n v="30444"/>
    <n v="2"/>
    <n v="0"/>
    <n v="0"/>
    <n v="3"/>
  </r>
  <r>
    <x v="514"/>
    <s v="Muhamad"/>
    <s v="Iismaeil"/>
    <x v="0"/>
    <d v="2020-11-15T00:00:00"/>
    <x v="1"/>
    <s v="Account Management"/>
    <x v="0"/>
    <s v="North"/>
    <n v="2663"/>
    <n v="31956"/>
    <n v="3"/>
    <n v="0"/>
    <n v="0"/>
    <n v="2"/>
  </r>
  <r>
    <x v="515"/>
    <s v="Khaldun"/>
    <s v="Alsaedi"/>
    <x v="0"/>
    <d v="2020-10-15T00:00:00"/>
    <x v="1"/>
    <s v="Quality Control"/>
    <x v="0"/>
    <s v="Main"/>
    <n v="2494"/>
    <n v="29928"/>
    <n v="4.5"/>
    <n v="2"/>
    <n v="0"/>
    <n v="2"/>
  </r>
  <r>
    <x v="516"/>
    <s v="Ghaliah"/>
    <s v="Eibad"/>
    <x v="1"/>
    <d v="2019-11-06T00:00:00"/>
    <x v="4"/>
    <s v="Environmental Health/Safety"/>
    <x v="2"/>
    <s v="North"/>
    <n v="2585"/>
    <n v="31020"/>
    <n v="5"/>
    <n v="1"/>
    <n v="5"/>
    <n v="7"/>
  </r>
  <r>
    <x v="517"/>
    <s v="Muhamad"/>
    <s v="Alsaedi"/>
    <x v="0"/>
    <d v="2019-12-10T00:00:00"/>
    <x v="4"/>
    <s v="Green Building"/>
    <x v="2"/>
    <s v="Main"/>
    <n v="1776"/>
    <n v="21312"/>
    <n v="2"/>
    <n v="0"/>
    <n v="0"/>
    <n v="0"/>
  </r>
  <r>
    <x v="518"/>
    <s v="Eala"/>
    <s v="Zaniqa"/>
    <x v="1"/>
    <d v="2017-09-15T00:00:00"/>
    <x v="2"/>
    <s v="Facilities/Engineering"/>
    <x v="0"/>
    <s v="North"/>
    <n v="3055"/>
    <n v="36660"/>
    <n v="3"/>
    <n v="0"/>
    <n v="4"/>
    <n v="9"/>
  </r>
  <r>
    <x v="519"/>
    <s v="Ayham"/>
    <s v="Sharfah"/>
    <x v="0"/>
    <d v="2018-01-13T00:00:00"/>
    <x v="2"/>
    <s v="Manufacturing"/>
    <x v="1"/>
    <s v="Main"/>
    <n v="1707"/>
    <n v="20484"/>
    <n v="3"/>
    <n v="0"/>
    <n v="0"/>
    <n v="4"/>
  </r>
  <r>
    <x v="520"/>
    <s v="Ahmad"/>
    <s v="Kazeur"/>
    <x v="0"/>
    <d v="2019-06-27T00:00:00"/>
    <x v="4"/>
    <s v="Facilities/Engineering"/>
    <x v="2"/>
    <s v="Main"/>
    <n v="2719"/>
    <n v="32628"/>
    <n v="3"/>
    <n v="0"/>
    <n v="0"/>
    <n v="7"/>
  </r>
  <r>
    <x v="521"/>
    <s v="Mujdi"/>
    <s v="Kiwan"/>
    <x v="0"/>
    <d v="2020-12-17T00:00:00"/>
    <x v="1"/>
    <s v="Marketing"/>
    <x v="0"/>
    <s v="South"/>
    <n v="1715"/>
    <n v="20580"/>
    <n v="3"/>
    <n v="0"/>
    <n v="0"/>
    <n v="10"/>
  </r>
  <r>
    <x v="522"/>
    <s v="Muhamad"/>
    <s v="Altynawi"/>
    <x v="0"/>
    <d v="2019-01-22T00:00:00"/>
    <x v="0"/>
    <s v="Manufacturing"/>
    <x v="0"/>
    <s v="West"/>
    <n v="2181"/>
    <n v="26172"/>
    <n v="2"/>
    <n v="0"/>
    <n v="0"/>
    <n v="1"/>
  </r>
  <r>
    <x v="523"/>
    <s v="Lama"/>
    <s v="Alhasan"/>
    <x v="1"/>
    <d v="2017-12-17T00:00:00"/>
    <x v="2"/>
    <s v="Manufacturing"/>
    <x v="2"/>
    <s v="North"/>
    <n v="1382"/>
    <n v="16584"/>
    <n v="5"/>
    <n v="0"/>
    <n v="4"/>
    <n v="8"/>
  </r>
  <r>
    <x v="524"/>
    <s v="Lama"/>
    <s v="Almisri"/>
    <x v="1"/>
    <d v="2020-05-06T00:00:00"/>
    <x v="1"/>
    <s v="Manufacturing"/>
    <x v="0"/>
    <s v="North"/>
    <n v="3350"/>
    <n v="40200"/>
    <n v="2"/>
    <n v="0"/>
    <n v="0"/>
    <n v="8"/>
  </r>
  <r>
    <x v="525"/>
    <s v="Thayir"/>
    <s v="Hamuwda"/>
    <x v="0"/>
    <d v="2020-05-09T00:00:00"/>
    <x v="1"/>
    <s v="Facilities/Engineering"/>
    <x v="2"/>
    <s v="East"/>
    <n v="1710"/>
    <n v="20520"/>
    <n v="5"/>
    <n v="0"/>
    <n v="0"/>
    <n v="9"/>
  </r>
  <r>
    <x v="526"/>
    <s v="Abdallah"/>
    <s v="Zakariaa"/>
    <x v="0"/>
    <d v="2019-05-08T00:00:00"/>
    <x v="4"/>
    <s v="Manufacturing"/>
    <x v="2"/>
    <s v="Main"/>
    <n v="2785"/>
    <n v="33420"/>
    <n v="1"/>
    <n v="0"/>
    <n v="4"/>
    <n v="3"/>
  </r>
  <r>
    <x v="527"/>
    <s v="Ikhlas"/>
    <s v="Alhasan"/>
    <x v="1"/>
    <d v="2019-11-15T00:00:00"/>
    <x v="4"/>
    <s v="Human Resources"/>
    <x v="2"/>
    <s v="Main"/>
    <n v="2425"/>
    <n v="29100"/>
    <n v="4.5"/>
    <n v="0"/>
    <n v="0"/>
    <n v="10"/>
  </r>
  <r>
    <x v="528"/>
    <s v="Muhamad"/>
    <s v="Jzayrly"/>
    <x v="0"/>
    <d v="2018-07-28T00:00:00"/>
    <x v="0"/>
    <s v="Marketing"/>
    <x v="0"/>
    <s v="South"/>
    <n v="1117"/>
    <n v="13404"/>
    <n v="3"/>
    <n v="3"/>
    <n v="0"/>
    <n v="8"/>
  </r>
  <r>
    <x v="529"/>
    <s v="Husam"/>
    <s v="Badr"/>
    <x v="0"/>
    <d v="2019-04-27T00:00:00"/>
    <x v="4"/>
    <s v="Account Management"/>
    <x v="0"/>
    <s v="Main"/>
    <n v="1112"/>
    <n v="13344"/>
    <n v="5"/>
    <n v="1"/>
    <n v="6"/>
    <n v="40"/>
  </r>
  <r>
    <x v="530"/>
    <s v="Rami"/>
    <s v="Hunun"/>
    <x v="0"/>
    <d v="2020-04-23T00:00:00"/>
    <x v="1"/>
    <s v="Marketing"/>
    <x v="0"/>
    <s v="West"/>
    <n v="1928"/>
    <n v="23136"/>
    <n v="4.5"/>
    <n v="6"/>
    <n v="0"/>
    <n v="1"/>
  </r>
  <r>
    <x v="531"/>
    <s v="Alia"/>
    <s v="Abu"/>
    <x v="1"/>
    <d v="2018-11-06T00:00:00"/>
    <x v="0"/>
    <s v="Facilities/Engineering"/>
    <x v="1"/>
    <s v="West"/>
    <n v="3300"/>
    <n v="39600"/>
    <n v="5"/>
    <n v="0"/>
    <n v="0"/>
    <n v="4"/>
  </r>
  <r>
    <x v="532"/>
    <s v="Samir"/>
    <s v="Sariji"/>
    <x v="0"/>
    <d v="2020-07-15T00:00:00"/>
    <x v="1"/>
    <s v="Marketing"/>
    <x v="0"/>
    <s v="North"/>
    <n v="2378"/>
    <n v="28536"/>
    <n v="5"/>
    <n v="0"/>
    <n v="0"/>
    <n v="5"/>
  </r>
  <r>
    <x v="533"/>
    <s v="Muhamad"/>
    <s v="Albieli"/>
    <x v="0"/>
    <d v="2016-06-26T00:00:00"/>
    <x v="5"/>
    <s v="Quality Control"/>
    <x v="2"/>
    <s v="Main"/>
    <n v="3138"/>
    <n v="37656"/>
    <n v="5"/>
    <n v="0"/>
    <n v="0"/>
    <n v="10"/>
  </r>
  <r>
    <x v="534"/>
    <s v="Ahmad"/>
    <s v="Eyd Bndqjy"/>
    <x v="0"/>
    <d v="2017-07-29T00:00:00"/>
    <x v="2"/>
    <s v="Manufacturing"/>
    <x v="2"/>
    <s v="Main"/>
    <n v="1981"/>
    <n v="23772"/>
    <n v="5"/>
    <n v="1"/>
    <n v="0"/>
    <n v="3"/>
  </r>
  <r>
    <x v="535"/>
    <s v="Maria"/>
    <s v="Lulu"/>
    <x v="1"/>
    <d v="2018-06-14T00:00:00"/>
    <x v="0"/>
    <s v="Manufacturing"/>
    <x v="1"/>
    <s v="North"/>
    <n v="1056"/>
    <n v="12672"/>
    <n v="3"/>
    <n v="0"/>
    <n v="0"/>
    <n v="94"/>
  </r>
  <r>
    <x v="536"/>
    <s v="Muhamad"/>
    <s v="Shhybr"/>
    <x v="0"/>
    <d v="2019-12-31T00:00:00"/>
    <x v="4"/>
    <s v="Facilities/Engineering"/>
    <x v="0"/>
    <s v="East"/>
    <n v="3295"/>
    <n v="39540"/>
    <n v="5"/>
    <n v="0"/>
    <n v="0"/>
    <n v="2"/>
  </r>
  <r>
    <x v="537"/>
    <s v="Abdalbasit"/>
    <s v="Aljazayiriu"/>
    <x v="0"/>
    <d v="2019-10-08T00:00:00"/>
    <x v="4"/>
    <s v="Facilities/Engineering"/>
    <x v="0"/>
    <s v="North"/>
    <n v="1022"/>
    <n v="12264"/>
    <n v="4.5"/>
    <n v="1"/>
    <n v="0"/>
    <n v="2"/>
  </r>
  <r>
    <x v="538"/>
    <s v="Bilal"/>
    <s v="Aywbi"/>
    <x v="0"/>
    <d v="2020-10-21T00:00:00"/>
    <x v="1"/>
    <s v="Green Building"/>
    <x v="2"/>
    <s v="Main"/>
    <n v="969"/>
    <n v="11628"/>
    <n v="3"/>
    <n v="1"/>
    <n v="0"/>
    <n v="0"/>
  </r>
  <r>
    <x v="539"/>
    <s v="Ahmad"/>
    <s v="Dabana"/>
    <x v="0"/>
    <d v="2019-04-13T00:00:00"/>
    <x v="4"/>
    <s v="Environmental Compliance"/>
    <x v="0"/>
    <s v="North"/>
    <n v="3354"/>
    <n v="40248"/>
    <n v="4.5"/>
    <n v="3"/>
    <n v="0"/>
    <n v="1"/>
  </r>
  <r>
    <x v="540"/>
    <s v="Fawaz"/>
    <s v="Ghazal"/>
    <x v="0"/>
    <d v="2020-01-21T00:00:00"/>
    <x v="4"/>
    <s v="Quality Control"/>
    <x v="0"/>
    <s v="North"/>
    <n v="2123"/>
    <n v="25476"/>
    <n v="5"/>
    <n v="0"/>
    <n v="0"/>
    <n v="15"/>
  </r>
  <r>
    <x v="541"/>
    <s v="Bisam"/>
    <s v="Altahhan"/>
    <x v="1"/>
    <d v="2019-09-20T00:00:00"/>
    <x v="4"/>
    <s v="Facilities/Engineering"/>
    <x v="0"/>
    <s v="West"/>
    <n v="897"/>
    <n v="10764"/>
    <n v="3"/>
    <n v="2"/>
    <n v="0"/>
    <n v="11"/>
  </r>
  <r>
    <x v="542"/>
    <s v="Muhamad"/>
    <s v="Amir"/>
    <x v="0"/>
    <d v="2018-04-17T00:00:00"/>
    <x v="0"/>
    <s v="Quality Control"/>
    <x v="1"/>
    <s v="Main"/>
    <n v="2925"/>
    <n v="35100"/>
    <n v="3"/>
    <n v="3"/>
    <n v="0"/>
    <n v="14"/>
  </r>
  <r>
    <x v="543"/>
    <s v="Lilas"/>
    <s v="Nafae"/>
    <x v="1"/>
    <d v="2018-09-05T00:00:00"/>
    <x v="0"/>
    <s v="Quality Control"/>
    <x v="0"/>
    <s v="Main"/>
    <n v="1895"/>
    <n v="22740"/>
    <n v="2"/>
    <n v="0"/>
    <n v="5"/>
    <n v="81"/>
  </r>
  <r>
    <x v="544"/>
    <s v="Muhamad"/>
    <s v="Ayman"/>
    <x v="0"/>
    <d v="2016-02-09T00:00:00"/>
    <x v="3"/>
    <s v="Environmental Health/Safety"/>
    <x v="0"/>
    <s v="West"/>
    <n v="2191"/>
    <n v="26292"/>
    <n v="5"/>
    <n v="2"/>
    <n v="0"/>
    <n v="7"/>
  </r>
  <r>
    <x v="545"/>
    <s v="Ranim"/>
    <s v="Earabi"/>
    <x v="1"/>
    <d v="2020-02-29T00:00:00"/>
    <x v="1"/>
    <s v="Research/Development"/>
    <x v="0"/>
    <s v="North"/>
    <n v="3130"/>
    <n v="37560"/>
    <n v="3"/>
    <n v="0"/>
    <n v="0"/>
    <n v="5"/>
  </r>
  <r>
    <x v="546"/>
    <s v="Amani"/>
    <s v="Altujjar"/>
    <x v="1"/>
    <d v="2016-11-21T00:00:00"/>
    <x v="5"/>
    <s v="Product Development"/>
    <x v="0"/>
    <s v="West"/>
    <n v="2654"/>
    <n v="31848"/>
    <n v="3"/>
    <n v="0"/>
    <n v="1"/>
    <n v="7"/>
  </r>
  <r>
    <x v="547"/>
    <s v="Muhamad"/>
    <s v="Rashid"/>
    <x v="0"/>
    <d v="2020-12-27T00:00:00"/>
    <x v="1"/>
    <s v="Quality Control"/>
    <x v="1"/>
    <s v="Main"/>
    <n v="859"/>
    <n v="10308"/>
    <n v="5"/>
    <n v="0"/>
    <n v="1"/>
    <n v="5"/>
  </r>
  <r>
    <x v="548"/>
    <s v="Amin"/>
    <s v="Hamid"/>
    <x v="0"/>
    <d v="2016-06-16T00:00:00"/>
    <x v="5"/>
    <s v="Quality Assurance"/>
    <x v="0"/>
    <s v="North"/>
    <n v="1113"/>
    <n v="13356"/>
    <n v="3"/>
    <n v="4"/>
    <n v="0"/>
    <n v="11"/>
  </r>
  <r>
    <x v="549"/>
    <s v="Khalid"/>
    <s v="Jameah"/>
    <x v="0"/>
    <d v="2019-09-17T00:00:00"/>
    <x v="4"/>
    <s v="Account Management"/>
    <x v="0"/>
    <s v="South"/>
    <n v="1234"/>
    <n v="14808"/>
    <n v="5"/>
    <n v="1"/>
    <n v="5"/>
    <n v="10"/>
  </r>
  <r>
    <x v="550"/>
    <s v="Fahd"/>
    <s v="Shaykh"/>
    <x v="0"/>
    <d v="2019-12-16T00:00:00"/>
    <x v="4"/>
    <s v="Marketing"/>
    <x v="0"/>
    <s v="North"/>
    <n v="2647"/>
    <n v="31764"/>
    <n v="3"/>
    <n v="4"/>
    <n v="0"/>
    <n v="1"/>
  </r>
  <r>
    <x v="551"/>
    <s v="Lilas"/>
    <s v="Kashik"/>
    <x v="1"/>
    <d v="2016-08-01T00:00:00"/>
    <x v="5"/>
    <s v="Green Building"/>
    <x v="1"/>
    <s v="North"/>
    <n v="2200"/>
    <n v="26400"/>
    <n v="1"/>
    <n v="1"/>
    <n v="0"/>
    <n v="6"/>
  </r>
  <r>
    <x v="552"/>
    <s v="Fatima"/>
    <s v="Hasan"/>
    <x v="1"/>
    <d v="2018-03-24T00:00:00"/>
    <x v="0"/>
    <s v="Major Mfg Projects"/>
    <x v="0"/>
    <s v="North"/>
    <n v="2381"/>
    <n v="28572"/>
    <n v="4.5"/>
    <n v="2"/>
    <n v="0"/>
    <n v="10"/>
  </r>
  <r>
    <x v="553"/>
    <s v="Diea"/>
    <s v="Dakhal"/>
    <x v="0"/>
    <d v="2019-12-18T00:00:00"/>
    <x v="4"/>
    <s v="Account Management"/>
    <x v="2"/>
    <s v="Main"/>
    <n v="2329"/>
    <n v="27948"/>
    <n v="2"/>
    <n v="0"/>
    <n v="0"/>
    <n v="5"/>
  </r>
  <r>
    <x v="554"/>
    <s v="Amir"/>
    <s v="Karishati"/>
    <x v="0"/>
    <d v="2019-07-30T00:00:00"/>
    <x v="4"/>
    <s v="Manufacturing"/>
    <x v="0"/>
    <s v="Main"/>
    <n v="1075"/>
    <n v="12900"/>
    <n v="3"/>
    <n v="0"/>
    <n v="4"/>
    <n v="61"/>
  </r>
  <r>
    <x v="555"/>
    <s v="Madlin"/>
    <s v="Alsaed"/>
    <x v="1"/>
    <d v="2017-10-05T00:00:00"/>
    <x v="2"/>
    <s v="Marketing"/>
    <x v="0"/>
    <s v="Main"/>
    <n v="3110"/>
    <n v="37320"/>
    <n v="1"/>
    <n v="1"/>
    <n v="4"/>
    <n v="1"/>
  </r>
  <r>
    <x v="556"/>
    <s v="Adnan"/>
    <s v="Aleaqla"/>
    <x v="0"/>
    <d v="2017-05-23T00:00:00"/>
    <x v="2"/>
    <s v="Manufacturing"/>
    <x v="0"/>
    <s v="North"/>
    <n v="2777"/>
    <n v="33324"/>
    <n v="5"/>
    <n v="0"/>
    <n v="0"/>
    <n v="10"/>
  </r>
  <r>
    <x v="557"/>
    <s v="Muhamad"/>
    <s v="Eursaly"/>
    <x v="0"/>
    <d v="2019-03-01T00:00:00"/>
    <x v="4"/>
    <s v="Training"/>
    <x v="0"/>
    <s v="West"/>
    <n v="2306"/>
    <n v="27672"/>
    <n v="2"/>
    <n v="5"/>
    <n v="5"/>
    <n v="11"/>
  </r>
  <r>
    <x v="558"/>
    <s v="Ranya"/>
    <s v="Alaishhab"/>
    <x v="1"/>
    <d v="2016-12-18T00:00:00"/>
    <x v="5"/>
    <s v="Quality Assurance"/>
    <x v="0"/>
    <s v="Main"/>
    <n v="1213"/>
    <n v="14556"/>
    <n v="3"/>
    <n v="0"/>
    <n v="0"/>
    <n v="10"/>
  </r>
  <r>
    <x v="559"/>
    <s v="Rulaa"/>
    <s v="Shannar"/>
    <x v="1"/>
    <d v="2020-04-19T00:00:00"/>
    <x v="1"/>
    <s v="Quality Assurance"/>
    <x v="0"/>
    <s v="South"/>
    <n v="2680"/>
    <n v="32160"/>
    <n v="4.5"/>
    <n v="0"/>
    <n v="0"/>
    <n v="1"/>
  </r>
  <r>
    <x v="560"/>
    <s v="Aynas"/>
    <s v="Alhiwat"/>
    <x v="1"/>
    <d v="2020-11-17T00:00:00"/>
    <x v="1"/>
    <s v="Quality Assurance"/>
    <x v="0"/>
    <s v="East"/>
    <n v="2204"/>
    <n v="26448"/>
    <n v="4.5"/>
    <n v="1"/>
    <n v="0"/>
    <n v="4"/>
  </r>
  <r>
    <x v="561"/>
    <s v="Sara"/>
    <s v="Tabanaj"/>
    <x v="1"/>
    <d v="2018-01-13T00:00:00"/>
    <x v="2"/>
    <s v="Manufacturing"/>
    <x v="0"/>
    <s v="Main"/>
    <n v="1297"/>
    <n v="15564"/>
    <n v="2"/>
    <n v="2"/>
    <n v="0"/>
    <n v="8"/>
  </r>
  <r>
    <x v="562"/>
    <s v="Abd Allah"/>
    <s v="Aldahan"/>
    <x v="0"/>
    <d v="2020-12-14T00:00:00"/>
    <x v="1"/>
    <s v="Quality Control"/>
    <x v="0"/>
    <s v="North"/>
    <n v="3024"/>
    <n v="36288"/>
    <n v="4.5"/>
    <n v="6"/>
    <n v="1"/>
    <n v="48"/>
  </r>
  <r>
    <x v="563"/>
    <s v="Muhamad"/>
    <s v="Ramzi"/>
    <x v="0"/>
    <d v="2018-02-11T00:00:00"/>
    <x v="2"/>
    <s v="Creative"/>
    <x v="0"/>
    <s v="Main"/>
    <n v="2228"/>
    <n v="26736"/>
    <n v="5"/>
    <n v="1"/>
    <n v="0"/>
    <n v="78"/>
  </r>
  <r>
    <x v="564"/>
    <s v="Jan"/>
    <s v="Mikayiylian"/>
    <x v="0"/>
    <d v="2016-01-08T00:00:00"/>
    <x v="3"/>
    <s v="Quality Assurance"/>
    <x v="0"/>
    <s v="West"/>
    <n v="2009"/>
    <n v="24108"/>
    <n v="4.5"/>
    <n v="6"/>
    <n v="0"/>
    <n v="0"/>
  </r>
  <r>
    <x v="565"/>
    <s v="Almuthanaa"/>
    <s v="Alsaediu"/>
    <x v="0"/>
    <d v="2020-09-13T00:00:00"/>
    <x v="1"/>
    <s v="Account Management"/>
    <x v="0"/>
    <s v="North"/>
    <n v="2573"/>
    <n v="30876"/>
    <n v="5"/>
    <n v="0"/>
    <n v="0"/>
    <n v="28"/>
  </r>
  <r>
    <x v="566"/>
    <s v="Emad"/>
    <s v="Dulul"/>
    <x v="0"/>
    <d v="2018-04-04T00:00:00"/>
    <x v="0"/>
    <s v="Manufacturing"/>
    <x v="0"/>
    <s v="North"/>
    <n v="1938"/>
    <n v="23256"/>
    <n v="3"/>
    <n v="0"/>
    <n v="0"/>
    <n v="7"/>
  </r>
  <r>
    <x v="567"/>
    <s v="Sarah"/>
    <s v="Haydar"/>
    <x v="1"/>
    <d v="2019-07-17T00:00:00"/>
    <x v="4"/>
    <s v="Account Management"/>
    <x v="0"/>
    <s v="Main"/>
    <n v="1208"/>
    <n v="14496"/>
    <n v="5"/>
    <n v="3"/>
    <n v="0"/>
    <n v="10"/>
  </r>
  <r>
    <x v="568"/>
    <s v="Abdalkarim"/>
    <s v="Shueayb"/>
    <x v="0"/>
    <d v="2019-07-17T00:00:00"/>
    <x v="4"/>
    <s v="Manufacturing Admin"/>
    <x v="3"/>
    <s v="West"/>
    <n v="2342"/>
    <n v="28104"/>
    <n v="4.5"/>
    <n v="5"/>
    <n v="0"/>
    <n v="10"/>
  </r>
  <r>
    <x v="569"/>
    <s v="Muhamad"/>
    <s v="Khayr"/>
    <x v="0"/>
    <d v="2020-04-29T00:00:00"/>
    <x v="1"/>
    <s v="IT"/>
    <x v="0"/>
    <s v="Main"/>
    <n v="3244"/>
    <n v="38928"/>
    <n v="4.5"/>
    <n v="0"/>
    <n v="0"/>
    <n v="78"/>
  </r>
  <r>
    <x v="570"/>
    <s v="Shadi"/>
    <s v="Qitan"/>
    <x v="0"/>
    <d v="2017-04-04T00:00:00"/>
    <x v="2"/>
    <s v="Account Management"/>
    <x v="0"/>
    <s v="North"/>
    <n v="2613"/>
    <n v="31356"/>
    <n v="4.5"/>
    <n v="0"/>
    <n v="1"/>
    <n v="5"/>
  </r>
  <r>
    <x v="571"/>
    <s v="Muhamad"/>
    <s v="Rajab"/>
    <x v="0"/>
    <d v="2020-12-19T00:00:00"/>
    <x v="1"/>
    <s v="Manufacturing"/>
    <x v="1"/>
    <s v="Main"/>
    <n v="2263"/>
    <n v="27156"/>
    <n v="5"/>
    <n v="0"/>
    <n v="0"/>
    <n v="9"/>
  </r>
  <r>
    <x v="572"/>
    <s v="Khalid"/>
    <s v="Alkhawam"/>
    <x v="0"/>
    <d v="2016-07-06T00:00:00"/>
    <x v="5"/>
    <s v="Account Management"/>
    <x v="0"/>
    <s v="East"/>
    <n v="3157"/>
    <n v="37884"/>
    <n v="5"/>
    <n v="0"/>
    <n v="0"/>
    <n v="1"/>
  </r>
  <r>
    <x v="573"/>
    <s v="Muhamad"/>
    <s v="Asamh"/>
    <x v="0"/>
    <d v="2018-03-07T00:00:00"/>
    <x v="0"/>
    <s v="Account Management"/>
    <x v="3"/>
    <s v="South"/>
    <n v="2519"/>
    <n v="30228"/>
    <n v="5"/>
    <n v="2"/>
    <n v="2"/>
    <n v="10"/>
  </r>
  <r>
    <x v="574"/>
    <s v="Alaa"/>
    <s v="Alyusif"/>
    <x v="1"/>
    <d v="2020-03-04T00:00:00"/>
    <x v="1"/>
    <s v="IT"/>
    <x v="2"/>
    <s v="West"/>
    <n v="3019"/>
    <n v="36228"/>
    <n v="4.5"/>
    <n v="2"/>
    <n v="0"/>
    <n v="15"/>
  </r>
  <r>
    <x v="575"/>
    <s v="Asym"/>
    <s v="Aleaqqad"/>
    <x v="1"/>
    <d v="2019-04-22T00:00:00"/>
    <x v="4"/>
    <s v="Manufacturing"/>
    <x v="2"/>
    <s v="East"/>
    <n v="3048"/>
    <n v="36576"/>
    <n v="2"/>
    <n v="3"/>
    <n v="6"/>
    <n v="6"/>
  </r>
  <r>
    <x v="576"/>
    <s v="Ahmad"/>
    <s v="Dahman"/>
    <x v="0"/>
    <d v="2019-12-12T00:00:00"/>
    <x v="4"/>
    <s v="Manufacturing"/>
    <x v="0"/>
    <s v="West"/>
    <n v="1523"/>
    <n v="18276"/>
    <n v="4.5"/>
    <n v="0"/>
    <n v="4"/>
    <n v="2"/>
  </r>
  <r>
    <x v="577"/>
    <s v="Oqba"/>
    <s v="Alqintar"/>
    <x v="0"/>
    <d v="2019-02-09T00:00:00"/>
    <x v="0"/>
    <s v="Marketing"/>
    <x v="0"/>
    <s v="East"/>
    <n v="2197"/>
    <n v="26364"/>
    <n v="1"/>
    <n v="1"/>
    <n v="0"/>
    <n v="8"/>
  </r>
  <r>
    <x v="578"/>
    <s v="Rahaf"/>
    <s v="Laylanaan"/>
    <x v="1"/>
    <d v="2019-04-01T00:00:00"/>
    <x v="4"/>
    <s v="Product Development"/>
    <x v="0"/>
    <s v="Main"/>
    <n v="1870"/>
    <n v="22440"/>
    <n v="4.5"/>
    <n v="0"/>
    <n v="3"/>
    <n v="15"/>
  </r>
  <r>
    <x v="579"/>
    <s v="Muhamad"/>
    <s v="Rajab"/>
    <x v="0"/>
    <d v="2018-03-17T00:00:00"/>
    <x v="0"/>
    <s v="Manufacturing"/>
    <x v="2"/>
    <s v="Main"/>
    <n v="1058"/>
    <n v="12696"/>
    <n v="5"/>
    <n v="0"/>
    <n v="0"/>
    <n v="10"/>
  </r>
  <r>
    <x v="580"/>
    <s v="Ramadan"/>
    <s v="Muhii Aldiyn"/>
    <x v="0"/>
    <d v="2019-10-03T00:00:00"/>
    <x v="4"/>
    <s v="Sales"/>
    <x v="0"/>
    <s v="South"/>
    <n v="1257"/>
    <n v="15084"/>
    <n v="4.5"/>
    <n v="1"/>
    <n v="3"/>
    <n v="2"/>
  </r>
  <r>
    <x v="581"/>
    <s v="Zaynab"/>
    <s v="Eirat"/>
    <x v="1"/>
    <d v="2019-12-26T00:00:00"/>
    <x v="4"/>
    <s v="Product Development"/>
    <x v="2"/>
    <s v="Main"/>
    <n v="819"/>
    <n v="9828"/>
    <n v="4.5"/>
    <n v="5"/>
    <n v="0"/>
    <n v="7"/>
  </r>
  <r>
    <x v="582"/>
    <s v="Salah Aldiyn"/>
    <s v="Altibae"/>
    <x v="0"/>
    <d v="2019-11-06T00:00:00"/>
    <x v="4"/>
    <s v="Research Center"/>
    <x v="2"/>
    <s v="North"/>
    <n v="3068"/>
    <n v="36816"/>
    <n v="2"/>
    <n v="4"/>
    <n v="0"/>
    <n v="8"/>
  </r>
  <r>
    <x v="583"/>
    <s v="Faras"/>
    <s v="Alghandur"/>
    <x v="0"/>
    <d v="2019-09-25T00:00:00"/>
    <x v="4"/>
    <s v="IT"/>
    <x v="3"/>
    <s v="East"/>
    <n v="1814"/>
    <n v="21768"/>
    <n v="3"/>
    <n v="0"/>
    <n v="0"/>
    <n v="6"/>
  </r>
  <r>
    <x v="584"/>
    <s v="Husam"/>
    <s v="Tamim"/>
    <x v="0"/>
    <d v="2019-05-20T00:00:00"/>
    <x v="4"/>
    <s v="Quality Control"/>
    <x v="0"/>
    <s v="East"/>
    <n v="1076"/>
    <n v="12912"/>
    <n v="5"/>
    <n v="1"/>
    <n v="0"/>
    <n v="4"/>
  </r>
  <r>
    <x v="585"/>
    <s v="Ayat"/>
    <s v="Byd"/>
    <x v="1"/>
    <d v="2017-01-01T00:00:00"/>
    <x v="5"/>
    <s v="Environmental Health/Safety"/>
    <x v="0"/>
    <s v="North"/>
    <n v="3120"/>
    <n v="37440"/>
    <n v="3"/>
    <n v="3"/>
    <n v="0"/>
    <n v="2"/>
  </r>
  <r>
    <x v="586"/>
    <s v="Rima"/>
    <s v="Daly"/>
    <x v="1"/>
    <d v="2020-08-29T00:00:00"/>
    <x v="1"/>
    <s v="Quality Control"/>
    <x v="0"/>
    <s v="North"/>
    <n v="1359"/>
    <n v="16308"/>
    <n v="2"/>
    <n v="0"/>
    <n v="0"/>
    <n v="8"/>
  </r>
  <r>
    <x v="587"/>
    <s v="Muhamad"/>
    <s v="Almunajid"/>
    <x v="0"/>
    <d v="2020-01-04T00:00:00"/>
    <x v="4"/>
    <s v="Manufacturing"/>
    <x v="0"/>
    <s v="North"/>
    <n v="3391"/>
    <n v="40692"/>
    <n v="1"/>
    <n v="0"/>
    <n v="3"/>
    <n v="1"/>
  </r>
  <r>
    <x v="588"/>
    <s v="Eynas"/>
    <s v="Muhamad"/>
    <x v="1"/>
    <d v="2020-08-11T00:00:00"/>
    <x v="1"/>
    <s v="IT"/>
    <x v="3"/>
    <s v="Main"/>
    <n v="1892"/>
    <n v="22704"/>
    <n v="5"/>
    <n v="0"/>
    <n v="0"/>
    <n v="6"/>
  </r>
  <r>
    <x v="589"/>
    <s v="Ahmad"/>
    <s v="Ahmid"/>
    <x v="0"/>
    <d v="2020-02-23T00:00:00"/>
    <x v="4"/>
    <s v="Manufacturing"/>
    <x v="0"/>
    <s v="West"/>
    <n v="2639"/>
    <n v="31668"/>
    <n v="1"/>
    <n v="1"/>
    <n v="0"/>
    <n v="3"/>
  </r>
  <r>
    <x v="590"/>
    <s v="Madlin"/>
    <s v="Aljabaei"/>
    <x v="1"/>
    <d v="2020-07-27T00:00:00"/>
    <x v="1"/>
    <s v="Facilities/Engineering"/>
    <x v="0"/>
    <s v="North"/>
    <n v="1580"/>
    <n v="18960"/>
    <n v="5"/>
    <n v="2"/>
    <n v="5"/>
    <n v="6"/>
  </r>
  <r>
    <x v="591"/>
    <s v="Ali"/>
    <s v="Alqadri"/>
    <x v="0"/>
    <d v="2019-08-15T00:00:00"/>
    <x v="4"/>
    <s v="Quality Control"/>
    <x v="0"/>
    <s v="North"/>
    <n v="2186"/>
    <n v="26232"/>
    <n v="3"/>
    <n v="0"/>
    <n v="0"/>
    <n v="4"/>
  </r>
  <r>
    <x v="592"/>
    <s v="Muhamad"/>
    <s v="Dib"/>
    <x v="0"/>
    <d v="2019-08-07T00:00:00"/>
    <x v="4"/>
    <s v="Facilities/Engineering"/>
    <x v="2"/>
    <s v="West"/>
    <n v="1574"/>
    <n v="18888"/>
    <n v="2"/>
    <n v="0"/>
    <n v="0"/>
    <n v="6"/>
  </r>
  <r>
    <x v="593"/>
    <s v="Hanan"/>
    <s v="Bradiei"/>
    <x v="1"/>
    <d v="2018-02-23T00:00:00"/>
    <x v="2"/>
    <s v="Account Management"/>
    <x v="1"/>
    <s v="North"/>
    <n v="2013"/>
    <n v="24156"/>
    <n v="4.5"/>
    <n v="6"/>
    <n v="0"/>
    <n v="8"/>
  </r>
  <r>
    <x v="594"/>
    <s v="Danah"/>
    <s v="Suirkili"/>
    <x v="1"/>
    <d v="2020-01-05T00:00:00"/>
    <x v="4"/>
    <s v="IT"/>
    <x v="0"/>
    <s v="North"/>
    <n v="2075"/>
    <n v="24900"/>
    <n v="2"/>
    <n v="0"/>
    <n v="0"/>
    <n v="5"/>
  </r>
  <r>
    <x v="595"/>
    <s v="Ghada"/>
    <s v="Darakal"/>
    <x v="1"/>
    <d v="2018-05-05T00:00:00"/>
    <x v="0"/>
    <s v="Manufacturing"/>
    <x v="0"/>
    <s v="North"/>
    <n v="1372"/>
    <n v="16464"/>
    <n v="1"/>
    <n v="0"/>
    <n v="3"/>
    <n v="2"/>
  </r>
  <r>
    <x v="596"/>
    <s v="Mazin"/>
    <s v="Bihtiti"/>
    <x v="0"/>
    <d v="2018-08-03T00:00:00"/>
    <x v="0"/>
    <s v="Facilities/Engineering"/>
    <x v="0"/>
    <s v="Main"/>
    <n v="2026"/>
    <n v="24312"/>
    <n v="4.5"/>
    <n v="0"/>
    <n v="0"/>
    <n v="7"/>
  </r>
  <r>
    <x v="597"/>
    <s v="Ridwan"/>
    <s v="Alshulyan"/>
    <x v="0"/>
    <d v="2017-04-29T00:00:00"/>
    <x v="2"/>
    <s v="Manufacturing"/>
    <x v="2"/>
    <s v="North"/>
    <n v="1351"/>
    <n v="16212"/>
    <n v="2"/>
    <n v="0"/>
    <n v="0"/>
    <n v="8"/>
  </r>
  <r>
    <x v="598"/>
    <s v="Ali"/>
    <s v="Barghaly"/>
    <x v="0"/>
    <d v="2017-05-29T00:00:00"/>
    <x v="2"/>
    <s v="Quality Control"/>
    <x v="0"/>
    <s v="West"/>
    <n v="1111"/>
    <n v="13332"/>
    <n v="1"/>
    <n v="3"/>
    <n v="0"/>
    <n v="6"/>
  </r>
  <r>
    <x v="599"/>
    <s v="Iad"/>
    <s v="Badran"/>
    <x v="0"/>
    <d v="2020-07-04T00:00:00"/>
    <x v="1"/>
    <s v="Quality Control"/>
    <x v="0"/>
    <s v="North"/>
    <n v="1554"/>
    <n v="18648"/>
    <n v="5"/>
    <n v="6"/>
    <n v="5"/>
    <n v="8"/>
  </r>
  <r>
    <x v="600"/>
    <s v="Abdalrhmin"/>
    <s v="Shwk"/>
    <x v="0"/>
    <d v="2019-10-20T00:00:00"/>
    <x v="4"/>
    <s v="Quality Assurance"/>
    <x v="1"/>
    <s v="West"/>
    <n v="3057"/>
    <n v="36684"/>
    <n v="5"/>
    <n v="0"/>
    <n v="0"/>
    <n v="0"/>
  </r>
  <r>
    <x v="601"/>
    <s v="Husam"/>
    <s v="Aldiyn"/>
    <x v="0"/>
    <d v="2018-12-19T00:00:00"/>
    <x v="0"/>
    <s v="IT"/>
    <x v="1"/>
    <s v="South"/>
    <n v="1733"/>
    <n v="20796"/>
    <n v="3"/>
    <n v="0"/>
    <n v="0"/>
    <n v="3"/>
  </r>
  <r>
    <x v="602"/>
    <s v="Ahmad"/>
    <s v="Hamuwdatan"/>
    <x v="0"/>
    <d v="2016-01-24T00:00:00"/>
    <x v="3"/>
    <s v="Environmental Health/Safety"/>
    <x v="0"/>
    <s v="Main"/>
    <n v="1511"/>
    <n v="18132"/>
    <n v="5"/>
    <n v="0"/>
    <n v="0"/>
    <n v="2"/>
  </r>
  <r>
    <x v="603"/>
    <s v="Ahmad"/>
    <s v="Laylana"/>
    <x v="0"/>
    <d v="2017-01-02T00:00:00"/>
    <x v="5"/>
    <s v="Sales"/>
    <x v="0"/>
    <s v="Main"/>
    <n v="2542"/>
    <n v="30504"/>
    <n v="5"/>
    <n v="0"/>
    <n v="6"/>
    <n v="6"/>
  </r>
  <r>
    <x v="604"/>
    <s v="Shuruq"/>
    <s v="Aljuju"/>
    <x v="1"/>
    <d v="2019-12-31T00:00:00"/>
    <x v="4"/>
    <s v="Quality Control"/>
    <x v="0"/>
    <s v="North"/>
    <n v="1573"/>
    <n v="18876"/>
    <n v="1"/>
    <n v="2"/>
    <n v="0"/>
    <n v="3"/>
  </r>
  <r>
    <x v="605"/>
    <s v="Muhamad"/>
    <s v="Alshahrur"/>
    <x v="0"/>
    <d v="2017-10-02T00:00:00"/>
    <x v="2"/>
    <s v="Manufacturing"/>
    <x v="3"/>
    <s v="Main"/>
    <n v="2604"/>
    <n v="31248"/>
    <n v="3"/>
    <n v="0"/>
    <n v="0"/>
    <n v="1"/>
  </r>
  <r>
    <x v="606"/>
    <s v="Rafif"/>
    <s v="Khalf"/>
    <x v="1"/>
    <d v="2019-05-07T00:00:00"/>
    <x v="4"/>
    <s v="Quality Assurance"/>
    <x v="3"/>
    <s v="West"/>
    <n v="3152"/>
    <n v="37824"/>
    <n v="5"/>
    <n v="0"/>
    <n v="0"/>
    <n v="8"/>
  </r>
  <r>
    <x v="607"/>
    <s v="Muhamad"/>
    <s v="Alkhatib"/>
    <x v="0"/>
    <d v="2020-09-23T00:00:00"/>
    <x v="1"/>
    <s v="Account Management"/>
    <x v="2"/>
    <s v="East"/>
    <n v="2655"/>
    <n v="31860"/>
    <n v="5"/>
    <n v="0"/>
    <n v="0"/>
    <n v="6"/>
  </r>
  <r>
    <x v="608"/>
    <s v="Muhamad"/>
    <s v="Albarnawi"/>
    <x v="0"/>
    <d v="2016-02-12T00:00:00"/>
    <x v="3"/>
    <s v="Manufacturing Admin"/>
    <x v="0"/>
    <s v="South"/>
    <n v="1405"/>
    <n v="16860"/>
    <n v="5"/>
    <n v="6"/>
    <n v="0"/>
    <n v="10"/>
  </r>
  <r>
    <x v="609"/>
    <s v="Ali"/>
    <s v="Almiqdad"/>
    <x v="0"/>
    <d v="2018-05-14T00:00:00"/>
    <x v="0"/>
    <s v="Manufacturing"/>
    <x v="0"/>
    <s v="North"/>
    <n v="3100"/>
    <n v="37200"/>
    <n v="5"/>
    <n v="0"/>
    <n v="0"/>
    <n v="7"/>
  </r>
  <r>
    <x v="610"/>
    <s v="Ranya"/>
    <s v="Faris"/>
    <x v="1"/>
    <d v="2017-07-31T00:00:00"/>
    <x v="2"/>
    <s v="Manufacturing"/>
    <x v="2"/>
    <s v="East"/>
    <n v="2729"/>
    <n v="32748"/>
    <n v="4.5"/>
    <n v="0"/>
    <n v="0"/>
    <n v="6"/>
  </r>
  <r>
    <x v="611"/>
    <s v="Ali"/>
    <s v="Alshaykh"/>
    <x v="0"/>
    <d v="2018-07-09T00:00:00"/>
    <x v="0"/>
    <s v="Marketing"/>
    <x v="0"/>
    <s v="Main"/>
    <n v="1467"/>
    <n v="17604"/>
    <n v="5"/>
    <n v="0"/>
    <n v="0"/>
    <n v="7"/>
  </r>
  <r>
    <x v="612"/>
    <s v="Iin"/>
    <s v="Kafa"/>
    <x v="1"/>
    <d v="2017-02-25T00:00:00"/>
    <x v="5"/>
    <s v="Manufacturing"/>
    <x v="1"/>
    <s v="Main"/>
    <n v="1612"/>
    <n v="19344"/>
    <n v="5"/>
    <n v="0"/>
    <n v="0"/>
    <n v="4"/>
  </r>
  <r>
    <x v="613"/>
    <s v="Muhamad"/>
    <s v="Almaghribi"/>
    <x v="0"/>
    <d v="2019-04-19T00:00:00"/>
    <x v="4"/>
    <s v="Quality Control"/>
    <x v="0"/>
    <s v="Main"/>
    <n v="2901"/>
    <n v="34812"/>
    <n v="5"/>
    <n v="0"/>
    <n v="0"/>
    <n v="6"/>
  </r>
  <r>
    <x v="614"/>
    <s v="Sami"/>
    <s v="Aldrwysh"/>
    <x v="0"/>
    <d v="2017-08-05T00:00:00"/>
    <x v="2"/>
    <s v="Environmental Health/Safety"/>
    <x v="0"/>
    <s v="Main"/>
    <n v="1999"/>
    <n v="23988"/>
    <n v="3"/>
    <n v="0"/>
    <n v="0"/>
    <n v="4"/>
  </r>
  <r>
    <x v="615"/>
    <s v="Samah"/>
    <s v="Alkhatib"/>
    <x v="1"/>
    <d v="2018-05-19T00:00:00"/>
    <x v="0"/>
    <s v="Account Management"/>
    <x v="1"/>
    <s v="North"/>
    <n v="705"/>
    <n v="8460"/>
    <n v="3"/>
    <n v="6"/>
    <n v="0"/>
    <n v="8"/>
  </r>
  <r>
    <x v="616"/>
    <s v="Eala"/>
    <s v="Hatim"/>
    <x v="1"/>
    <d v="2019-09-29T00:00:00"/>
    <x v="4"/>
    <s v="Sales"/>
    <x v="0"/>
    <s v="North"/>
    <n v="3311"/>
    <n v="39732"/>
    <n v="4.5"/>
    <n v="0"/>
    <n v="0"/>
    <n v="1"/>
  </r>
  <r>
    <x v="617"/>
    <s v="Dalia"/>
    <s v="Nahlawi"/>
    <x v="1"/>
    <d v="2018-01-07T00:00:00"/>
    <x v="2"/>
    <s v="Manufacturing"/>
    <x v="0"/>
    <s v="West"/>
    <n v="2516"/>
    <n v="30192"/>
    <n v="3"/>
    <n v="6"/>
    <n v="0"/>
    <n v="3"/>
  </r>
  <r>
    <x v="618"/>
    <s v="Rabye'"/>
    <s v="Alzrqawy"/>
    <x v="0"/>
    <d v="2019-10-04T00:00:00"/>
    <x v="4"/>
    <s v="Account Management"/>
    <x v="1"/>
    <s v="North"/>
    <n v="2000"/>
    <n v="24000"/>
    <n v="3"/>
    <n v="1"/>
    <n v="0"/>
    <n v="0"/>
  </r>
  <r>
    <x v="619"/>
    <s v="Kholoud"/>
    <s v="Huquq"/>
    <x v="1"/>
    <d v="2019-09-27T00:00:00"/>
    <x v="4"/>
    <s v="Facilities/Engineering"/>
    <x v="2"/>
    <s v="South"/>
    <n v="2860"/>
    <n v="34320"/>
    <n v="3"/>
    <n v="0"/>
    <n v="6"/>
    <n v="7"/>
  </r>
  <r>
    <x v="620"/>
    <s v="Ibrahim"/>
    <s v="Alqatish"/>
    <x v="0"/>
    <d v="2019-04-02T00:00:00"/>
    <x v="4"/>
    <s v="Quality Control"/>
    <x v="0"/>
    <s v="East"/>
    <n v="943"/>
    <n v="11316"/>
    <n v="4.5"/>
    <n v="0"/>
    <n v="0"/>
    <n v="1"/>
  </r>
  <r>
    <x v="621"/>
    <s v="Salih"/>
    <s v="Altawil"/>
    <x v="0"/>
    <d v="2019-09-12T00:00:00"/>
    <x v="4"/>
    <s v="Quality Control"/>
    <x v="3"/>
    <s v="Main"/>
    <n v="1018"/>
    <n v="12216"/>
    <n v="2"/>
    <n v="5"/>
    <n v="0"/>
    <n v="10"/>
  </r>
  <r>
    <x v="622"/>
    <s v="Sami"/>
    <s v="Alsyd Ahmad"/>
    <x v="0"/>
    <d v="2019-02-06T00:00:00"/>
    <x v="0"/>
    <s v="Quality Control"/>
    <x v="0"/>
    <s v="South"/>
    <n v="1835"/>
    <n v="22020"/>
    <n v="3"/>
    <n v="1"/>
    <n v="0"/>
    <n v="50"/>
  </r>
  <r>
    <x v="623"/>
    <s v="Zahir"/>
    <s v="Aleitar"/>
    <x v="0"/>
    <d v="2018-09-05T00:00:00"/>
    <x v="0"/>
    <s v="Quality Assurance"/>
    <x v="3"/>
    <s v="West"/>
    <n v="2192"/>
    <n v="26304"/>
    <n v="4.5"/>
    <n v="0"/>
    <n v="4"/>
    <n v="1"/>
  </r>
  <r>
    <x v="624"/>
    <s v="Fatir"/>
    <s v="Alealiu"/>
    <x v="0"/>
    <d v="2019-06-25T00:00:00"/>
    <x v="4"/>
    <s v="Manufacturing"/>
    <x v="0"/>
    <s v="Main"/>
    <n v="2875"/>
    <n v="34500"/>
    <n v="3"/>
    <n v="0"/>
    <n v="0"/>
    <n v="4"/>
  </r>
  <r>
    <x v="625"/>
    <s v="Samir"/>
    <s v="Alealiu"/>
    <x v="0"/>
    <d v="2019-09-29T00:00:00"/>
    <x v="4"/>
    <s v="Marketing"/>
    <x v="1"/>
    <s v="West"/>
    <n v="1332"/>
    <n v="15984"/>
    <n v="2"/>
    <n v="0"/>
    <n v="0"/>
    <n v="14"/>
  </r>
  <r>
    <x v="626"/>
    <s v="Muhamad"/>
    <s v="Sulayman"/>
    <x v="0"/>
    <d v="2017-12-02T00:00:00"/>
    <x v="2"/>
    <s v="IT"/>
    <x v="1"/>
    <s v="North"/>
    <n v="2023"/>
    <n v="24276"/>
    <n v="5"/>
    <n v="6"/>
    <n v="0"/>
    <n v="5"/>
  </r>
  <r>
    <x v="627"/>
    <s v="Muhamad"/>
    <s v="Suqabani"/>
    <x v="0"/>
    <d v="2020-11-21T00:00:00"/>
    <x v="1"/>
    <s v="Quality Assurance"/>
    <x v="0"/>
    <s v="East"/>
    <n v="2094"/>
    <n v="25128"/>
    <n v="4.5"/>
    <n v="6"/>
    <n v="5"/>
    <n v="2"/>
  </r>
  <r>
    <x v="628"/>
    <s v="Muhamad"/>
    <s v="Aldubbas"/>
    <x v="0"/>
    <d v="2019-06-01T00:00:00"/>
    <x v="4"/>
    <s v="Green Building"/>
    <x v="1"/>
    <s v="North"/>
    <n v="3006"/>
    <n v="36072"/>
    <n v="4.5"/>
    <n v="0"/>
    <n v="3"/>
    <n v="7"/>
  </r>
  <r>
    <x v="629"/>
    <s v="Hamzaa"/>
    <s v="Astitih"/>
    <x v="0"/>
    <d v="2019-11-26T00:00:00"/>
    <x v="4"/>
    <s v="Manufacturing"/>
    <x v="2"/>
    <s v="Main"/>
    <n v="2717"/>
    <n v="32604"/>
    <n v="5"/>
    <n v="0"/>
    <n v="0"/>
    <n v="7"/>
  </r>
  <r>
    <x v="630"/>
    <s v="Sulayman"/>
    <s v="Zinu"/>
    <x v="0"/>
    <d v="2018-08-14T00:00:00"/>
    <x v="0"/>
    <s v="Training"/>
    <x v="2"/>
    <s v="Main"/>
    <n v="3135"/>
    <n v="37620"/>
    <n v="3"/>
    <n v="1"/>
    <n v="0"/>
    <n v="5"/>
  </r>
  <r>
    <x v="631"/>
    <s v="Alaa"/>
    <s v="Alrifaei"/>
    <x v="1"/>
    <d v="2019-11-07T00:00:00"/>
    <x v="4"/>
    <s v="Account Management"/>
    <x v="2"/>
    <s v="North"/>
    <n v="2334"/>
    <n v="28008"/>
    <n v="1"/>
    <n v="2"/>
    <n v="0"/>
    <n v="2"/>
  </r>
  <r>
    <x v="632"/>
    <s v="Rasha"/>
    <s v="Alrifaei"/>
    <x v="1"/>
    <d v="2019-01-22T00:00:00"/>
    <x v="0"/>
    <s v="Account Management"/>
    <x v="0"/>
    <s v="North"/>
    <n v="1661"/>
    <n v="19932"/>
    <n v="5"/>
    <n v="4"/>
    <n v="0"/>
    <n v="9"/>
  </r>
  <r>
    <x v="633"/>
    <s v="Bayan"/>
    <s v="Darbika"/>
    <x v="1"/>
    <d v="2019-05-10T00:00:00"/>
    <x v="4"/>
    <s v="Research Center"/>
    <x v="0"/>
    <s v="East"/>
    <n v="1230"/>
    <n v="14760"/>
    <n v="5"/>
    <n v="0"/>
    <n v="6"/>
    <n v="5"/>
  </r>
  <r>
    <x v="634"/>
    <s v="Iin"/>
    <s v="Almunzilijiu"/>
    <x v="1"/>
    <d v="2016-03-05T00:00:00"/>
    <x v="5"/>
    <s v="Sales"/>
    <x v="1"/>
    <s v="Main"/>
    <n v="1483"/>
    <n v="17796"/>
    <n v="5"/>
    <n v="0"/>
    <n v="2"/>
    <n v="8"/>
  </r>
  <r>
    <x v="635"/>
    <s v="Abd Alwahhab"/>
    <s v="Aldhiyab"/>
    <x v="0"/>
    <d v="2019-05-29T00:00:00"/>
    <x v="4"/>
    <s v="Quality Control"/>
    <x v="2"/>
    <s v="North"/>
    <n v="2462"/>
    <n v="29544"/>
    <n v="3"/>
    <n v="6"/>
    <n v="3"/>
    <n v="2"/>
  </r>
  <r>
    <x v="636"/>
    <s v="Hanan"/>
    <s v="Salahi"/>
    <x v="1"/>
    <d v="2020-12-29T00:00:00"/>
    <x v="1"/>
    <s v="Quality Assurance"/>
    <x v="0"/>
    <s v="East"/>
    <n v="2180"/>
    <n v="26160"/>
    <n v="5"/>
    <n v="3"/>
    <n v="0"/>
    <n v="0"/>
  </r>
  <r>
    <x v="637"/>
    <s v="Mari"/>
    <s v="Ayuwb"/>
    <x v="1"/>
    <d v="2016-07-25T00:00:00"/>
    <x v="5"/>
    <s v="Creative"/>
    <x v="0"/>
    <s v="North"/>
    <n v="943"/>
    <n v="11316"/>
    <n v="5"/>
    <n v="0"/>
    <n v="4"/>
    <n v="7"/>
  </r>
  <r>
    <x v="638"/>
    <s v="Omar"/>
    <s v="Shawqi"/>
    <x v="0"/>
    <d v="2019-08-11T00:00:00"/>
    <x v="4"/>
    <s v="Major Mfg Projects"/>
    <x v="0"/>
    <s v="Main"/>
    <n v="2489"/>
    <n v="29868"/>
    <n v="3"/>
    <n v="6"/>
    <n v="0"/>
    <n v="3"/>
  </r>
  <r>
    <x v="639"/>
    <s v="Tariq"/>
    <s v="Aldhahabi"/>
    <x v="0"/>
    <d v="2019-11-12T00:00:00"/>
    <x v="4"/>
    <s v="Product Development"/>
    <x v="0"/>
    <s v="South"/>
    <n v="2279"/>
    <n v="27348"/>
    <n v="5"/>
    <n v="0"/>
    <n v="0"/>
    <n v="4"/>
  </r>
  <r>
    <x v="640"/>
    <s v="Rama"/>
    <s v="Asead"/>
    <x v="1"/>
    <d v="2019-01-14T00:00:00"/>
    <x v="0"/>
    <s v="Quality Assurance"/>
    <x v="1"/>
    <s v="Main"/>
    <n v="840"/>
    <n v="10080"/>
    <n v="3"/>
    <n v="4"/>
    <n v="0"/>
    <n v="10"/>
  </r>
  <r>
    <x v="641"/>
    <s v="Ghayth"/>
    <s v="Eali"/>
    <x v="0"/>
    <d v="2019-02-15T00:00:00"/>
    <x v="0"/>
    <s v="Quality Control"/>
    <x v="0"/>
    <s v="North"/>
    <n v="1601"/>
    <n v="19212"/>
    <n v="5"/>
    <n v="0"/>
    <n v="0"/>
    <n v="3"/>
  </r>
  <r>
    <x v="642"/>
    <s v="Mahir"/>
    <s v="Eabuwd"/>
    <x v="0"/>
    <d v="2018-04-28T00:00:00"/>
    <x v="0"/>
    <s v="Account Management"/>
    <x v="0"/>
    <s v="North"/>
    <n v="1414"/>
    <n v="16968"/>
    <n v="5"/>
    <n v="4"/>
    <n v="0"/>
    <n v="10"/>
  </r>
  <r>
    <x v="643"/>
    <s v="Muwmin"/>
    <s v="Almujahid"/>
    <x v="0"/>
    <d v="2020-03-25T00:00:00"/>
    <x v="1"/>
    <s v="IT"/>
    <x v="2"/>
    <s v="North"/>
    <n v="905"/>
    <n v="10860"/>
    <n v="3"/>
    <n v="0"/>
    <n v="0"/>
    <n v="8"/>
  </r>
  <r>
    <x v="644"/>
    <s v="Dima"/>
    <s v="Drwysh"/>
    <x v="1"/>
    <d v="2020-03-04T00:00:00"/>
    <x v="1"/>
    <s v="Facilities/Engineering"/>
    <x v="2"/>
    <s v="North"/>
    <n v="2525"/>
    <n v="30300"/>
    <n v="3"/>
    <n v="0"/>
    <n v="0"/>
    <n v="10"/>
  </r>
  <r>
    <x v="645"/>
    <s v="Muhamad"/>
    <s v="Khalid"/>
    <x v="0"/>
    <d v="2018-05-25T00:00:00"/>
    <x v="0"/>
    <s v="Sales"/>
    <x v="0"/>
    <s v="North"/>
    <n v="1412"/>
    <n v="16944"/>
    <n v="2"/>
    <n v="0"/>
    <n v="0"/>
    <n v="7"/>
  </r>
  <r>
    <x v="646"/>
    <s v="Diea"/>
    <s v="Filyun"/>
    <x v="0"/>
    <d v="2020-01-04T00:00:00"/>
    <x v="4"/>
    <s v="Manufacturing"/>
    <x v="3"/>
    <s v="Main"/>
    <n v="2397"/>
    <n v="28764"/>
    <n v="3"/>
    <n v="0"/>
    <n v="0"/>
    <n v="100"/>
  </r>
  <r>
    <x v="647"/>
    <s v="Muhamad"/>
    <s v="Tasbihji"/>
    <x v="0"/>
    <d v="2020-08-12T00:00:00"/>
    <x v="1"/>
    <s v="Account Management"/>
    <x v="0"/>
    <s v="North"/>
    <n v="1153"/>
    <n v="13836"/>
    <n v="4.5"/>
    <n v="0"/>
    <n v="2"/>
    <n v="10"/>
  </r>
  <r>
    <x v="648"/>
    <s v="Mazin"/>
    <s v="Shumut"/>
    <x v="0"/>
    <d v="2017-08-05T00:00:00"/>
    <x v="2"/>
    <s v="Account Management"/>
    <x v="0"/>
    <s v="North"/>
    <n v="2091"/>
    <n v="25092"/>
    <n v="2"/>
    <n v="0"/>
    <n v="0"/>
    <n v="6"/>
  </r>
  <r>
    <x v="649"/>
    <s v="Omar"/>
    <s v="Zaqzuq"/>
    <x v="0"/>
    <d v="2020-06-29T00:00:00"/>
    <x v="1"/>
    <s v="Manufacturing"/>
    <x v="2"/>
    <s v="West"/>
    <n v="1444"/>
    <n v="17328"/>
    <n v="5"/>
    <n v="3"/>
    <n v="0"/>
    <n v="7"/>
  </r>
  <r>
    <x v="650"/>
    <s v="Yasmin"/>
    <s v="Eamir"/>
    <x v="1"/>
    <d v="2017-03-01T00:00:00"/>
    <x v="2"/>
    <s v="Manufacturing"/>
    <x v="0"/>
    <s v="North"/>
    <n v="2360"/>
    <n v="28320"/>
    <n v="4.5"/>
    <n v="0"/>
    <n v="0"/>
    <n v="1"/>
  </r>
  <r>
    <x v="651"/>
    <s v="Muhamad"/>
    <s v="Haydar"/>
    <x v="0"/>
    <d v="2020-12-12T00:00:00"/>
    <x v="1"/>
    <s v="Facilities/Engineering"/>
    <x v="2"/>
    <s v="North"/>
    <n v="2576"/>
    <n v="30912"/>
    <n v="1"/>
    <n v="6"/>
    <n v="0"/>
    <n v="6"/>
  </r>
  <r>
    <x v="652"/>
    <s v="Muhamad"/>
    <s v="Ratib"/>
    <x v="0"/>
    <d v="2019-11-24T00:00:00"/>
    <x v="4"/>
    <s v="Account Management"/>
    <x v="0"/>
    <s v="Main"/>
    <n v="2376"/>
    <n v="28512"/>
    <n v="2"/>
    <n v="6"/>
    <n v="0"/>
    <n v="57"/>
  </r>
  <r>
    <x v="653"/>
    <s v="Muayid"/>
    <s v="Siedih"/>
    <x v="0"/>
    <d v="2019-08-04T00:00:00"/>
    <x v="4"/>
    <s v="Facilities/Engineering"/>
    <x v="2"/>
    <s v="North"/>
    <n v="2924"/>
    <n v="35088"/>
    <n v="4.5"/>
    <n v="0"/>
    <n v="0"/>
    <n v="10"/>
  </r>
  <r>
    <x v="654"/>
    <s v="Husam"/>
    <s v="Alhamd"/>
    <x v="0"/>
    <d v="2017-02-19T00:00:00"/>
    <x v="5"/>
    <s v="Quality Assurance"/>
    <x v="1"/>
    <s v="West"/>
    <n v="2548"/>
    <n v="30576"/>
    <n v="1"/>
    <n v="0"/>
    <n v="0"/>
    <n v="10"/>
  </r>
  <r>
    <x v="655"/>
    <s v="Abdalkrim"/>
    <s v="Fadal"/>
    <x v="0"/>
    <d v="2020-01-22T00:00:00"/>
    <x v="4"/>
    <s v="Account Management"/>
    <x v="1"/>
    <s v="South"/>
    <n v="841"/>
    <n v="10092"/>
    <n v="1"/>
    <n v="4"/>
    <n v="0"/>
    <n v="7"/>
  </r>
  <r>
    <x v="656"/>
    <s v="Bayan"/>
    <s v="Eurnus"/>
    <x v="1"/>
    <d v="2020-05-15T00:00:00"/>
    <x v="1"/>
    <s v="Manufacturing"/>
    <x v="0"/>
    <s v="North"/>
    <n v="3017"/>
    <n v="36204"/>
    <n v="3"/>
    <n v="0"/>
    <n v="0"/>
    <n v="6"/>
  </r>
  <r>
    <x v="657"/>
    <s v="Abd Almueiyn"/>
    <s v="Eitaya"/>
    <x v="0"/>
    <d v="2018-01-26T00:00:00"/>
    <x v="2"/>
    <s v="Facilities/Engineering"/>
    <x v="2"/>
    <s v="North"/>
    <n v="1077"/>
    <n v="12924"/>
    <n v="5"/>
    <n v="0"/>
    <n v="0"/>
    <n v="9"/>
  </r>
  <r>
    <x v="658"/>
    <s v="Sahar"/>
    <s v="Qisam"/>
    <x v="1"/>
    <d v="2018-05-03T00:00:00"/>
    <x v="0"/>
    <s v="Marketing"/>
    <x v="0"/>
    <s v="South"/>
    <n v="3316"/>
    <n v="39792"/>
    <n v="4.5"/>
    <n v="0"/>
    <n v="0"/>
    <n v="8"/>
  </r>
  <r>
    <x v="659"/>
    <s v="Rafat"/>
    <s v="Musaa"/>
    <x v="0"/>
    <d v="2018-12-08T00:00:00"/>
    <x v="0"/>
    <s v="Creative"/>
    <x v="3"/>
    <s v="South"/>
    <n v="2188"/>
    <n v="26256"/>
    <n v="4.5"/>
    <n v="5"/>
    <n v="0"/>
    <n v="9"/>
  </r>
  <r>
    <x v="660"/>
    <s v="Shafiq"/>
    <s v="Almalih"/>
    <x v="0"/>
    <d v="2019-02-04T00:00:00"/>
    <x v="0"/>
    <s v="Creative"/>
    <x v="2"/>
    <s v="South"/>
    <n v="1684"/>
    <n v="20208"/>
    <n v="5"/>
    <n v="0"/>
    <n v="0"/>
    <n v="6"/>
  </r>
  <r>
    <x v="661"/>
    <s v="Raghad"/>
    <s v="Aghasi"/>
    <x v="1"/>
    <d v="2019-11-14T00:00:00"/>
    <x v="4"/>
    <s v="Account Management"/>
    <x v="0"/>
    <s v="Main"/>
    <n v="716"/>
    <n v="8592"/>
    <n v="3"/>
    <n v="0"/>
    <n v="0"/>
    <n v="8"/>
  </r>
  <r>
    <x v="662"/>
    <s v="Ruba"/>
    <s v="Alhumwi"/>
    <x v="1"/>
    <d v="2019-05-19T00:00:00"/>
    <x v="4"/>
    <s v="Manufacturing"/>
    <x v="0"/>
    <s v="North"/>
    <n v="2703"/>
    <n v="32436"/>
    <n v="2"/>
    <n v="0"/>
    <n v="0"/>
    <n v="4"/>
  </r>
  <r>
    <x v="663"/>
    <s v="Bilal"/>
    <s v="Alqalish"/>
    <x v="0"/>
    <d v="2018-07-08T00:00:00"/>
    <x v="0"/>
    <s v="Manufacturing Admin"/>
    <x v="0"/>
    <s v="East"/>
    <n v="2361"/>
    <n v="28332"/>
    <n v="5"/>
    <n v="0"/>
    <n v="0"/>
    <n v="1"/>
  </r>
  <r>
    <x v="664"/>
    <s v="Muhamad"/>
    <s v="Almisri"/>
    <x v="0"/>
    <d v="2020-11-06T00:00:00"/>
    <x v="1"/>
    <s v="Manufacturing"/>
    <x v="0"/>
    <s v="Main"/>
    <n v="1797"/>
    <n v="21564"/>
    <n v="1"/>
    <n v="6"/>
    <n v="0"/>
    <n v="7"/>
  </r>
  <r>
    <x v="665"/>
    <s v="Husayn"/>
    <s v="Hawria"/>
    <x v="0"/>
    <d v="2020-06-13T00:00:00"/>
    <x v="1"/>
    <s v="Environmental Compliance"/>
    <x v="0"/>
    <s v="East"/>
    <n v="2252"/>
    <n v="27024"/>
    <n v="3"/>
    <n v="0"/>
    <n v="0"/>
    <n v="2"/>
  </r>
  <r>
    <x v="666"/>
    <s v="Safa"/>
    <s v="Alshahadat"/>
    <x v="1"/>
    <d v="2018-09-30T00:00:00"/>
    <x v="0"/>
    <s v="Manufacturing"/>
    <x v="0"/>
    <s v="North"/>
    <n v="2486"/>
    <n v="29832"/>
    <n v="5"/>
    <n v="5"/>
    <n v="2"/>
    <n v="9"/>
  </r>
  <r>
    <x v="667"/>
    <s v="Ahmad"/>
    <s v="Aldiyk"/>
    <x v="0"/>
    <d v="2020-06-13T00:00:00"/>
    <x v="1"/>
    <s v="Manufacturing"/>
    <x v="0"/>
    <s v="North"/>
    <n v="1197"/>
    <n v="14364"/>
    <n v="2"/>
    <n v="4"/>
    <n v="0"/>
    <n v="8"/>
  </r>
  <r>
    <x v="668"/>
    <s v="Hind"/>
    <s v="Almueasaeas"/>
    <x v="1"/>
    <d v="2019-05-05T00:00:00"/>
    <x v="4"/>
    <s v="Facilities/Engineering"/>
    <x v="1"/>
    <s v="North"/>
    <n v="3389"/>
    <n v="40668"/>
    <n v="3"/>
    <n v="1"/>
    <n v="0"/>
    <n v="7"/>
  </r>
  <r>
    <x v="669"/>
    <s v="Dania"/>
    <s v="Earmush"/>
    <x v="1"/>
    <d v="2019-12-01T00:00:00"/>
    <x v="4"/>
    <s v="Product Development"/>
    <x v="2"/>
    <s v="Main"/>
    <n v="2760"/>
    <n v="33120"/>
    <n v="1"/>
    <n v="6"/>
    <n v="6"/>
    <n v="1"/>
  </r>
  <r>
    <x v="670"/>
    <s v="Ayly"/>
    <s v="Bahriin"/>
    <x v="0"/>
    <d v="2017-09-14T00:00:00"/>
    <x v="2"/>
    <s v="Professional Training Group"/>
    <x v="1"/>
    <s v="Main"/>
    <n v="1232"/>
    <n v="14784"/>
    <n v="5"/>
    <n v="3"/>
    <n v="0"/>
    <n v="10"/>
  </r>
  <r>
    <x v="671"/>
    <s v="Jihan"/>
    <s v="Nadir"/>
    <x v="1"/>
    <d v="2019-04-18T00:00:00"/>
    <x v="4"/>
    <s v="Facilities/Engineering"/>
    <x v="2"/>
    <s v="North"/>
    <n v="1045"/>
    <n v="12540"/>
    <n v="5"/>
    <n v="6"/>
    <n v="0"/>
    <n v="4"/>
  </r>
  <r>
    <x v="672"/>
    <s v="Muhamad"/>
    <s v="Sharif Aldaghly"/>
    <x v="0"/>
    <d v="2018-01-04T00:00:00"/>
    <x v="2"/>
    <s v="IT"/>
    <x v="0"/>
    <s v="West"/>
    <n v="3257"/>
    <n v="39084"/>
    <n v="3"/>
    <n v="0"/>
    <n v="0"/>
    <n v="6"/>
  </r>
  <r>
    <x v="673"/>
    <s v="Emara"/>
    <s v="bwalsibae"/>
    <x v="1"/>
    <d v="2018-03-01T00:00:00"/>
    <x v="0"/>
    <s v="Facilities/Engineering"/>
    <x v="0"/>
    <s v="South"/>
    <n v="3026"/>
    <n v="36312"/>
    <n v="3"/>
    <n v="4"/>
    <n v="0"/>
    <n v="1"/>
  </r>
  <r>
    <x v="674"/>
    <s v="Razzan"/>
    <s v="Alhusayni"/>
    <x v="1"/>
    <d v="2019-10-28T00:00:00"/>
    <x v="4"/>
    <s v="Quality Assurance"/>
    <x v="0"/>
    <s v="North"/>
    <n v="1898"/>
    <n v="22776"/>
    <n v="4.5"/>
    <n v="1"/>
    <n v="0"/>
    <n v="2"/>
  </r>
  <r>
    <x v="675"/>
    <s v="Ghassan"/>
    <s v="Aljamal"/>
    <x v="0"/>
    <d v="2018-06-24T00:00:00"/>
    <x v="0"/>
    <s v="Manufacturing"/>
    <x v="0"/>
    <s v="South"/>
    <n v="2778"/>
    <n v="33336"/>
    <n v="3"/>
    <n v="2"/>
    <n v="0"/>
    <n v="20"/>
  </r>
  <r>
    <x v="676"/>
    <s v="Omar"/>
    <s v="Kahulus"/>
    <x v="0"/>
    <d v="2018-01-04T00:00:00"/>
    <x v="2"/>
    <s v="Quality Assurance"/>
    <x v="3"/>
    <s v="North"/>
    <n v="2880"/>
    <n v="34560"/>
    <n v="2"/>
    <n v="4"/>
    <n v="0"/>
    <n v="5"/>
  </r>
  <r>
    <x v="677"/>
    <s v="Amjad"/>
    <s v="Nasir"/>
    <x v="0"/>
    <d v="2019-03-14T00:00:00"/>
    <x v="4"/>
    <s v="Research Center"/>
    <x v="1"/>
    <s v="Main"/>
    <n v="2815"/>
    <n v="33780"/>
    <n v="3"/>
    <n v="6"/>
    <n v="0"/>
    <n v="2"/>
  </r>
  <r>
    <x v="678"/>
    <s v="Iman"/>
    <s v="Ghrz Aldiyn"/>
    <x v="1"/>
    <d v="2018-12-14T00:00:00"/>
    <x v="0"/>
    <s v="Green Building"/>
    <x v="3"/>
    <s v="East"/>
    <n v="1134"/>
    <n v="13608"/>
    <n v="2"/>
    <n v="0"/>
    <n v="0"/>
    <n v="14"/>
  </r>
  <r>
    <x v="679"/>
    <s v="Alysia"/>
    <s v="Alyaghshiu"/>
    <x v="1"/>
    <d v="2019-10-19T00:00:00"/>
    <x v="4"/>
    <s v="Training"/>
    <x v="2"/>
    <s v="West"/>
    <n v="3334"/>
    <n v="40008"/>
    <n v="1"/>
    <n v="0"/>
    <n v="0"/>
    <n v="4"/>
  </r>
  <r>
    <x v="680"/>
    <s v="Ayham"/>
    <s v="Alqadi"/>
    <x v="0"/>
    <d v="2020-05-30T00:00:00"/>
    <x v="1"/>
    <s v="Manufacturing"/>
    <x v="3"/>
    <s v="East"/>
    <n v="2574"/>
    <n v="30888"/>
    <n v="3"/>
    <n v="3"/>
    <n v="0"/>
    <n v="4"/>
  </r>
  <r>
    <x v="681"/>
    <s v="Diea"/>
    <s v="Shuelan"/>
    <x v="0"/>
    <d v="2019-03-06T00:00:00"/>
    <x v="4"/>
    <s v="Manufacturing"/>
    <x v="0"/>
    <s v="West"/>
    <n v="1123"/>
    <n v="13476"/>
    <n v="1"/>
    <n v="0"/>
    <n v="0"/>
    <n v="7"/>
  </r>
  <r>
    <x v="682"/>
    <s v="Husam"/>
    <s v="Alsaed"/>
    <x v="0"/>
    <d v="2016-05-12T00:00:00"/>
    <x v="5"/>
    <s v="Account Management"/>
    <x v="2"/>
    <s v="Main"/>
    <n v="2147"/>
    <n v="25764"/>
    <n v="3"/>
    <n v="0"/>
    <n v="4"/>
    <n v="2"/>
  </r>
  <r>
    <x v="683"/>
    <s v="Asd"/>
    <s v="Bwfaeur"/>
    <x v="0"/>
    <d v="2017-06-27T00:00:00"/>
    <x v="2"/>
    <s v="IT"/>
    <x v="0"/>
    <s v="Main"/>
    <n v="2929"/>
    <n v="35148"/>
    <n v="4.5"/>
    <n v="0"/>
    <n v="0"/>
    <n v="2"/>
  </r>
  <r>
    <x v="684"/>
    <s v="Sari"/>
    <s v="Hanna"/>
    <x v="0"/>
    <d v="2020-05-26T00:00:00"/>
    <x v="1"/>
    <s v="Marketing"/>
    <x v="4"/>
    <s v="South"/>
    <n v="1452"/>
    <n v="17424"/>
    <n v="2"/>
    <n v="0"/>
    <n v="3"/>
    <n v="1"/>
  </r>
  <r>
    <x v="685"/>
    <s v="Eubayda"/>
    <s v="Kayd"/>
    <x v="0"/>
    <d v="2020-06-03T00:00:00"/>
    <x v="1"/>
    <s v="Facilities/Engineering"/>
    <x v="0"/>
    <s v="North"/>
    <n v="3237"/>
    <n v="38844"/>
    <n v="3"/>
    <n v="1"/>
    <n v="0"/>
    <n v="4"/>
  </r>
  <r>
    <x v="686"/>
    <s v="Khalil"/>
    <s v="Alkalu"/>
    <x v="0"/>
    <d v="2017-07-11T00:00:00"/>
    <x v="2"/>
    <s v="Facilities/Engineering"/>
    <x v="0"/>
    <s v="North"/>
    <n v="2819"/>
    <n v="33828"/>
    <n v="5"/>
    <n v="0"/>
    <n v="0"/>
    <n v="0"/>
  </r>
  <r>
    <x v="687"/>
    <s v="Muhamad"/>
    <s v="Shrbjy"/>
    <x v="0"/>
    <d v="2018-05-30T00:00:00"/>
    <x v="0"/>
    <s v="Creative"/>
    <x v="0"/>
    <s v="North"/>
    <n v="2069"/>
    <n v="24828"/>
    <n v="3"/>
    <n v="0"/>
    <n v="0"/>
    <n v="10"/>
  </r>
  <r>
    <x v="688"/>
    <s v="Abd Albasit"/>
    <s v="AlAhmar"/>
    <x v="0"/>
    <d v="2020-08-05T00:00:00"/>
    <x v="1"/>
    <s v="IT"/>
    <x v="2"/>
    <s v="North"/>
    <n v="2606"/>
    <n v="31272"/>
    <n v="5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E5F60E-1F56-4B0C-B12B-41F662AE925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1">
  <location ref="L23:M29" firstHeaderRow="1" firstDataRow="1" firstDataCol="1"/>
  <pivotFields count="15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17">
        <item x="14"/>
        <item x="4"/>
        <item x="2"/>
        <item x="11"/>
        <item x="10"/>
        <item x="13"/>
        <item x="0"/>
        <item x="9"/>
        <item x="6"/>
        <item x="3"/>
        <item x="5"/>
        <item x="1"/>
        <item x="8"/>
        <item x="12"/>
        <item x="7"/>
        <item x="15"/>
        <item t="default"/>
      </items>
    </pivotField>
    <pivotField showAll="0">
      <items count="21">
        <item x="7"/>
        <item x="6"/>
        <item x="16"/>
        <item x="8"/>
        <item x="10"/>
        <item x="9"/>
        <item x="4"/>
        <item x="13"/>
        <item x="1"/>
        <item x="0"/>
        <item x="17"/>
        <item x="11"/>
        <item x="15"/>
        <item x="12"/>
        <item x="3"/>
        <item x="14"/>
        <item x="18"/>
        <item x="2"/>
        <item x="5"/>
        <item x="19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</pivotField>
    <pivotField multipleItemSelectionAllowed="1" showAll="0">
      <items count="6">
        <item x="0"/>
        <item x="1"/>
        <item x="3"/>
        <item x="2"/>
        <item x="4"/>
        <item t="default"/>
      </items>
    </pivotField>
    <pivotField axis="axisRow" showAll="0">
      <items count="6">
        <item x="1"/>
        <item x="2"/>
        <item x="3"/>
        <item x="0"/>
        <item x="4"/>
        <item t="default"/>
      </items>
    </pivotField>
    <pivotField showAll="0"/>
    <pivotField showAll="0"/>
    <pivotField showAll="0">
      <items count="7">
        <item x="1"/>
        <item x="2"/>
        <item x="0"/>
        <item x="4"/>
        <item x="3"/>
        <item x="5"/>
        <item t="default"/>
      </items>
    </pivotField>
    <pivotField multipleItemSelectionAllowed="1" showAll="0">
      <items count="9">
        <item x="1"/>
        <item h="1" x="0"/>
        <item h="1" x="5"/>
        <item h="1" x="2"/>
        <item h="1" x="6"/>
        <item h="1" x="4"/>
        <item h="1" x="3"/>
        <item h="1" x="7"/>
        <item t="default"/>
      </items>
    </pivotField>
    <pivotField showAll="0"/>
    <pivotField showAll="0">
      <items count="16">
        <item x="3"/>
        <item x="5"/>
        <item x="9"/>
        <item x="10"/>
        <item x="12"/>
        <item x="11"/>
        <item x="13"/>
        <item x="7"/>
        <item x="6"/>
        <item x="4"/>
        <item x="8"/>
        <item x="0"/>
        <item x="2"/>
        <item x="1"/>
        <item x="1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6" subtotal="count" baseField="0" baseItem="0"/>
  </dataFields>
  <chartFormats count="6">
    <chartFormat chart="6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7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7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7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7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7" format="6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3EF357-9F07-4558-872E-AABC14AAB056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15">
    <pivotField showAll="0"/>
    <pivotField showAll="0"/>
    <pivotField showAll="0"/>
    <pivotField showAll="0"/>
    <pivotField showAll="0"/>
    <pivotField showAll="0"/>
    <pivotField dataField="1" showAll="0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</pivotField>
    <pivotField axis="axisPage" multipleItemSelectionAllowed="1" showAll="0">
      <items count="6">
        <item x="0"/>
        <item h="1" x="1"/>
        <item h="1" x="3"/>
        <item h="1" x="2"/>
        <item h="1" x="4"/>
        <item t="default"/>
      </items>
    </pivotField>
    <pivotField showAll="0"/>
    <pivotField showAll="0"/>
    <pivotField showAll="0"/>
    <pivotField axis="axisRow" showAll="0">
      <items count="7">
        <item h="1" x="1"/>
        <item h="1" x="2"/>
        <item h="1" x="0"/>
        <item h="1" x="4"/>
        <item x="3"/>
        <item h="1" x="5"/>
        <item t="default"/>
      </items>
    </pivotField>
    <pivotField showAll="0"/>
    <pivotField showAll="0"/>
    <pivotField showAll="0"/>
  </pivotFields>
  <rowFields count="1">
    <field x="11"/>
  </rowFields>
  <rowItems count="2">
    <i>
      <x v="4"/>
    </i>
    <i t="grand">
      <x/>
    </i>
  </rowItems>
  <colItems count="1">
    <i/>
  </colItems>
  <pageFields count="1">
    <pageField fld="7" hier="-1"/>
  </pageFields>
  <dataFields count="1">
    <dataField name="Count of Departme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ABB0FE-76E3-4427-9BA6-51FB73A1BE7A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6">
  <location ref="H15:I27" firstHeaderRow="1" firstDataRow="1" firstDataCol="1"/>
  <pivotFields count="15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17">
        <item x="14"/>
        <item x="4"/>
        <item x="2"/>
        <item x="11"/>
        <item x="10"/>
        <item x="13"/>
        <item x="0"/>
        <item x="9"/>
        <item x="6"/>
        <item x="3"/>
        <item x="5"/>
        <item x="1"/>
        <item x="8"/>
        <item x="12"/>
        <item x="7"/>
        <item x="15"/>
        <item t="default"/>
      </items>
    </pivotField>
    <pivotField showAll="0">
      <items count="21">
        <item x="7"/>
        <item x="6"/>
        <item x="16"/>
        <item x="8"/>
        <item x="10"/>
        <item x="9"/>
        <item x="4"/>
        <item x="13"/>
        <item x="1"/>
        <item x="0"/>
        <item x="17"/>
        <item x="11"/>
        <item x="15"/>
        <item x="12"/>
        <item x="3"/>
        <item x="14"/>
        <item x="18"/>
        <item x="2"/>
        <item x="5"/>
        <item x="19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8">
        <item x="1"/>
        <item x="4"/>
        <item x="0"/>
        <item x="2"/>
        <item x="5"/>
        <item x="3"/>
        <item x="6"/>
        <item t="default"/>
      </items>
    </pivotField>
    <pivotField axis="axisRow" showAll="0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</pivotField>
    <pivotField multipleItemSelectionAllowe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dataField="1" multipleItemSelectionAllowed="1" showAll="0">
      <items count="9">
        <item x="1"/>
        <item h="1" x="0"/>
        <item h="1" x="5"/>
        <item h="1" x="2"/>
        <item h="1" x="6"/>
        <item h="1" x="4"/>
        <item h="1" x="3"/>
        <item h="1" x="7"/>
        <item t="default"/>
      </items>
    </pivotField>
    <pivotField showAll="0"/>
    <pivotField showAll="0">
      <items count="16">
        <item x="3"/>
        <item x="5"/>
        <item x="9"/>
        <item x="10"/>
        <item x="12"/>
        <item x="11"/>
        <item x="13"/>
        <item x="7"/>
        <item x="6"/>
        <item x="4"/>
        <item x="8"/>
        <item x="0"/>
        <item x="2"/>
        <item x="1"/>
        <item x="14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Sick Leaves" fld="12" baseField="0" baseItem="0"/>
  </dataFields>
  <chartFormats count="1">
    <chartFormat chart="4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32ABC-7B4C-4676-89F5-8C73E064D0C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0">
  <location ref="O17:P29" firstHeaderRow="1" firstDataRow="1" firstDataCol="1"/>
  <pivotFields count="15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17">
        <item x="14"/>
        <item x="4"/>
        <item x="2"/>
        <item x="11"/>
        <item x="10"/>
        <item x="13"/>
        <item x="0"/>
        <item x="9"/>
        <item x="6"/>
        <item x="3"/>
        <item x="5"/>
        <item x="1"/>
        <item x="8"/>
        <item x="12"/>
        <item x="7"/>
        <item x="15"/>
        <item t="default"/>
      </items>
    </pivotField>
    <pivotField showAll="0">
      <items count="21">
        <item x="7"/>
        <item x="6"/>
        <item x="16"/>
        <item x="8"/>
        <item x="10"/>
        <item x="9"/>
        <item x="4"/>
        <item x="13"/>
        <item x="1"/>
        <item x="0"/>
        <item x="17"/>
        <item x="11"/>
        <item x="15"/>
        <item x="12"/>
        <item x="3"/>
        <item x="14"/>
        <item x="18"/>
        <item x="2"/>
        <item x="5"/>
        <item x="19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8">
        <item x="1"/>
        <item x="4"/>
        <item h="1" x="0"/>
        <item x="2"/>
        <item x="5"/>
        <item x="3"/>
        <item x="6"/>
        <item t="default"/>
      </items>
    </pivotField>
    <pivotField axis="axisRow" showAll="0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</pivotField>
    <pivotField multipleItemSelectionAllowed="1" showAll="0">
      <items count="6">
        <item h="1" x="0"/>
        <item x="1"/>
        <item x="3"/>
        <item x="2"/>
        <item x="4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21">
        <item h="1" x="14"/>
        <item h="1" x="15"/>
        <item h="1" x="4"/>
        <item h="1" x="9"/>
        <item h="1" x="17"/>
        <item x="8"/>
        <item h="1" x="10"/>
        <item x="0"/>
        <item h="1" x="3"/>
        <item h="1" x="6"/>
        <item h="1" x="12"/>
        <item h="1" x="11"/>
        <item x="18"/>
        <item h="1" x="5"/>
        <item h="1" x="2"/>
        <item h="1" x="16"/>
        <item h="1" x="1"/>
        <item h="1" x="7"/>
        <item h="1" x="13"/>
        <item h="1" x="19"/>
        <item t="default"/>
      </items>
    </pivotField>
    <pivotField showAll="0"/>
    <pivotField dataField="1" showAll="0">
      <items count="7">
        <item x="1"/>
        <item x="2"/>
        <item x="0"/>
        <item x="4"/>
        <item x="3"/>
        <item x="5"/>
        <item t="default"/>
      </items>
    </pivotField>
    <pivotField multipleItemSelectionAllowed="1" showAll="0">
      <items count="9">
        <item x="1"/>
        <item x="0"/>
        <item x="5"/>
        <item x="2"/>
        <item x="6"/>
        <item x="4"/>
        <item x="3"/>
        <item x="7"/>
        <item t="default"/>
      </items>
    </pivotField>
    <pivotField showAll="0"/>
    <pivotField showAll="0">
      <items count="16">
        <item x="3"/>
        <item x="5"/>
        <item x="9"/>
        <item x="10"/>
        <item x="12"/>
        <item x="11"/>
        <item x="13"/>
        <item x="7"/>
        <item x="6"/>
        <item x="4"/>
        <item x="8"/>
        <item x="0"/>
        <item x="2"/>
        <item x="1"/>
        <item x="14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Job Rate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B7646-0F18-4A2F-9B9B-F175012E74A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>
  <location ref="Q16:R17" firstHeaderRow="1" firstDataRow="1" firstDataCol="1"/>
  <pivotFields count="15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17">
        <item x="14"/>
        <item x="4"/>
        <item x="2"/>
        <item x="11"/>
        <item x="10"/>
        <item x="13"/>
        <item x="0"/>
        <item x="9"/>
        <item x="6"/>
        <item x="3"/>
        <item x="5"/>
        <item x="1"/>
        <item x="8"/>
        <item x="12"/>
        <item x="7"/>
        <item x="15"/>
        <item t="default"/>
      </items>
    </pivotField>
    <pivotField showAll="0">
      <items count="21">
        <item x="7"/>
        <item x="6"/>
        <item x="16"/>
        <item x="8"/>
        <item x="10"/>
        <item x="9"/>
        <item x="4"/>
        <item x="13"/>
        <item x="1"/>
        <item x="0"/>
        <item x="17"/>
        <item x="11"/>
        <item x="15"/>
        <item x="12"/>
        <item x="3"/>
        <item x="14"/>
        <item x="18"/>
        <item x="2"/>
        <item x="5"/>
        <item x="19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>
      <items count="8">
        <item x="1"/>
        <item x="4"/>
        <item h="1" x="0"/>
        <item x="2"/>
        <item x="5"/>
        <item x="3"/>
        <item x="6"/>
        <item t="default"/>
      </items>
    </pivotField>
    <pivotField axis="axisRow" showAll="0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</pivotField>
    <pivotField multipleItemSelectionAllowed="1" showAll="0">
      <items count="6">
        <item h="1" x="0"/>
        <item x="1"/>
        <item x="3"/>
        <item x="2"/>
        <item x="4"/>
        <item t="default"/>
      </items>
    </pivotField>
    <pivotField showAll="0">
      <items count="6">
        <item x="1"/>
        <item x="2"/>
        <item x="3"/>
        <item x="0"/>
        <item x="4"/>
        <item t="default"/>
      </items>
    </pivotField>
    <pivotField showAll="0">
      <items count="21">
        <item h="1" x="14"/>
        <item h="1" x="15"/>
        <item h="1" x="4"/>
        <item h="1" x="9"/>
        <item h="1" x="17"/>
        <item x="8"/>
        <item h="1" x="10"/>
        <item x="0"/>
        <item h="1" x="3"/>
        <item h="1" x="6"/>
        <item h="1" x="12"/>
        <item h="1" x="11"/>
        <item x="18"/>
        <item h="1" x="5"/>
        <item h="1" x="2"/>
        <item h="1" x="16"/>
        <item h="1" x="1"/>
        <item h="1" x="7"/>
        <item h="1" x="13"/>
        <item h="1" x="19"/>
        <item t="default"/>
      </items>
    </pivotField>
    <pivotField showAll="0"/>
    <pivotField showAll="0">
      <items count="7">
        <item x="1"/>
        <item x="2"/>
        <item x="0"/>
        <item x="4"/>
        <item x="3"/>
        <item x="5"/>
        <item t="default"/>
      </items>
    </pivotField>
    <pivotField dataField="1" multipleItemSelectionAllowed="1" showAll="0">
      <items count="9">
        <item x="1"/>
        <item x="0"/>
        <item x="5"/>
        <item x="2"/>
        <item x="6"/>
        <item x="4"/>
        <item x="3"/>
        <item x="7"/>
        <item t="default"/>
      </items>
    </pivotField>
    <pivotField showAll="0"/>
    <pivotField showAll="0">
      <items count="16">
        <item x="3"/>
        <item x="5"/>
        <item x="9"/>
        <item x="10"/>
        <item x="12"/>
        <item x="11"/>
        <item x="13"/>
        <item x="7"/>
        <item x="6"/>
        <item x="4"/>
        <item x="8"/>
        <item x="0"/>
        <item x="2"/>
        <item x="1"/>
        <item x="14"/>
        <item t="default"/>
      </items>
    </pivotField>
  </pivotFields>
  <rowFields count="2">
    <field x="0"/>
    <field x="6"/>
  </rowFields>
  <rowItems count="1">
    <i t="grand">
      <x/>
    </i>
  </rowItems>
  <colItems count="1">
    <i/>
  </colItems>
  <dataFields count="1">
    <dataField name="Sum of Sick Leaves" fld="12" baseField="0" baseItem="0"/>
  </dataFields>
  <pivotTableStyleInfo name="PivotStyleLight16" showRowHeaders="1" showColHeaders="1" showRowStripes="0" showColStripes="0" showLastColumn="1"/>
  <filters count="1">
    <filter fld="6" type="captionGreaterThan" evalOrder="-1" id="6" stringValue1="3">
      <autoFilter ref="A1">
        <filterColumn colId="0">
          <customFilters>
            <customFilter operator="greaterThan" val="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F6D63-6D9D-4FA3-938D-EFC92F4C742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1">
  <location ref="O9:Q13" firstHeaderRow="0" firstDataRow="1" firstDataCol="1"/>
  <pivotFields count="15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17">
        <item x="14"/>
        <item x="4"/>
        <item x="2"/>
        <item x="11"/>
        <item x="10"/>
        <item x="13"/>
        <item x="0"/>
        <item x="9"/>
        <item x="6"/>
        <item x="3"/>
        <item x="5"/>
        <item x="1"/>
        <item x="8"/>
        <item x="12"/>
        <item x="7"/>
        <item x="15"/>
        <item t="default"/>
      </items>
    </pivotField>
    <pivotField showAll="0">
      <items count="21">
        <item x="7"/>
        <item x="6"/>
        <item x="16"/>
        <item x="8"/>
        <item x="10"/>
        <item x="9"/>
        <item x="4"/>
        <item x="13"/>
        <item x="1"/>
        <item x="0"/>
        <item x="17"/>
        <item x="11"/>
        <item x="15"/>
        <item x="12"/>
        <item x="3"/>
        <item x="14"/>
        <item x="18"/>
        <item x="2"/>
        <item x="5"/>
        <item x="19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</pivotField>
    <pivotField multipleItemSelectionAllowe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>
      <items count="7">
        <item x="1"/>
        <item x="2"/>
        <item x="0"/>
        <item x="4"/>
        <item x="3"/>
        <item x="5"/>
        <item t="default"/>
      </items>
    </pivotField>
    <pivotField multipleItemSelectionAllowed="1" showAll="0">
      <items count="9">
        <item x="1"/>
        <item h="1" x="0"/>
        <item h="1" x="5"/>
        <item h="1" x="2"/>
        <item h="1" x="6"/>
        <item h="1" x="4"/>
        <item h="1" x="3"/>
        <item h="1" x="7"/>
        <item t="default"/>
      </items>
    </pivotField>
    <pivotField dataField="1" showAll="0"/>
    <pivotField showAll="0">
      <items count="16">
        <item x="3"/>
        <item x="5"/>
        <item x="9"/>
        <item x="10"/>
        <item x="12"/>
        <item x="11"/>
        <item x="13"/>
        <item x="7"/>
        <item x="6"/>
        <item x="4"/>
        <item x="8"/>
        <item x="0"/>
        <item x="2"/>
        <item x="1"/>
        <item x="14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s" fld="5" baseField="0" baseItem="0"/>
    <dataField name="Sum of Unpaid Leaves" fld="13" baseField="0" baseItem="0"/>
  </dataFields>
  <chartFormats count="2">
    <chartFormat chart="4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GreaterThan" evalOrder="-1" id="6" stringValue1="3">
      <autoFilter ref="A1">
        <filterColumn colId="0">
          <customFilters>
            <customFilter operator="greaterThan" val="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A24E5-8186-4EC0-AFAA-64B469EA996C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4:E6" firstHeaderRow="1" firstDataRow="1" firstDataCol="1" rowPageCount="2" colPageCount="1"/>
  <pivotFields count="15"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dataField="1" showAll="0">
      <items count="12">
        <item x="5"/>
        <item h="1" x="8"/>
        <item h="1" x="6"/>
        <item h="1" x="7"/>
        <item h="1" x="1"/>
        <item h="1" x="2"/>
        <item h="1" x="9"/>
        <item h="1" x="3"/>
        <item h="1" x="0"/>
        <item h="1" x="4"/>
        <item h="1" x="10"/>
        <item t="default"/>
      </items>
    </pivotField>
    <pivotField axis="axisPage" multipleItemSelectionAllowed="1" showAll="0">
      <items count="6">
        <item x="0"/>
        <item h="1" x="1"/>
        <item h="1" x="3"/>
        <item h="1" x="2"/>
        <item h="1" x="4"/>
        <item t="default"/>
      </items>
    </pivotField>
    <pivotField showAll="0"/>
    <pivotField showAll="0"/>
    <pivotField showAll="0"/>
    <pivotField showAll="0"/>
    <pivotField axis="axisRow" multipleItemSelectionAllowed="1" showAll="0">
      <items count="9">
        <item x="1"/>
        <item h="1" x="0"/>
        <item h="1" x="5"/>
        <item h="1" x="2"/>
        <item h="1" x="6"/>
        <item h="1" x="4"/>
        <item h="1" x="3"/>
        <item h="1" x="7"/>
        <item t="default"/>
      </items>
    </pivotField>
    <pivotField showAll="0"/>
    <pivotField showAll="0">
      <items count="16">
        <item h="1" x="3"/>
        <item x="5"/>
        <item h="1" x="9"/>
        <item h="1" x="10"/>
        <item h="1" x="12"/>
        <item h="1" x="11"/>
        <item h="1" x="13"/>
        <item h="1" x="7"/>
        <item h="1" x="6"/>
        <item h="1" x="4"/>
        <item h="1" x="8"/>
        <item h="1" x="0"/>
        <item h="1" x="2"/>
        <item h="1" x="1"/>
        <item h="1" x="14"/>
        <item t="default"/>
      </items>
    </pivotField>
  </pivotFields>
  <rowFields count="1">
    <field x="12"/>
  </rowFields>
  <rowItems count="2">
    <i>
      <x/>
    </i>
    <i t="grand">
      <x/>
    </i>
  </rowItems>
  <colItems count="1">
    <i/>
  </colItems>
  <pageFields count="2">
    <pageField fld="7" hier="-1"/>
    <pageField fld="3" hier="-1"/>
  </pageFields>
  <dataFields count="1">
    <dataField name="Count of Departmen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E3CA2-68AF-4BC8-B9AF-C619BF750EA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>
  <location ref="L9:M21" firstHeaderRow="1" firstDataRow="1" firstDataCol="1"/>
  <pivotFields count="15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17">
        <item x="14"/>
        <item x="4"/>
        <item x="2"/>
        <item x="11"/>
        <item x="10"/>
        <item x="13"/>
        <item x="0"/>
        <item x="9"/>
        <item x="6"/>
        <item x="3"/>
        <item x="5"/>
        <item x="1"/>
        <item x="8"/>
        <item x="12"/>
        <item x="7"/>
        <item x="15"/>
        <item t="default"/>
      </items>
    </pivotField>
    <pivotField showAll="0">
      <items count="21">
        <item x="7"/>
        <item x="6"/>
        <item x="16"/>
        <item x="8"/>
        <item x="10"/>
        <item x="9"/>
        <item x="4"/>
        <item x="13"/>
        <item x="1"/>
        <item x="0"/>
        <item x="17"/>
        <item x="11"/>
        <item x="15"/>
        <item x="12"/>
        <item x="3"/>
        <item x="14"/>
        <item x="18"/>
        <item x="2"/>
        <item x="5"/>
        <item x="19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</pivotField>
    <pivotField multipleItemSelectionAllowed="1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dataField="1" showAll="0">
      <items count="7">
        <item x="1"/>
        <item x="2"/>
        <item x="0"/>
        <item x="4"/>
        <item x="3"/>
        <item x="5"/>
        <item t="default"/>
      </items>
    </pivotField>
    <pivotField multipleItemSelectionAllowed="1" showAll="0">
      <items count="9">
        <item x="1"/>
        <item h="1" x="0"/>
        <item h="1" x="5"/>
        <item h="1" x="2"/>
        <item h="1" x="6"/>
        <item h="1" x="4"/>
        <item h="1" x="3"/>
        <item h="1" x="7"/>
        <item t="default"/>
      </items>
    </pivotField>
    <pivotField showAll="0"/>
    <pivotField showAll="0">
      <items count="16">
        <item x="3"/>
        <item x="5"/>
        <item x="9"/>
        <item x="10"/>
        <item x="12"/>
        <item x="11"/>
        <item x="13"/>
        <item x="7"/>
        <item x="6"/>
        <item x="4"/>
        <item x="8"/>
        <item x="0"/>
        <item x="2"/>
        <item x="1"/>
        <item x="14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Job Rate" fld="11" baseField="0" baseItem="0"/>
  </dataFields>
  <chartFormats count="1">
    <chartFormat chart="4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C43980-CEF6-4633-845E-A6AF08380FA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7">
  <location ref="H10:I11" firstHeaderRow="1" firstDataRow="1" firstDataCol="1"/>
  <pivotFields count="15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17">
        <item x="14"/>
        <item x="4"/>
        <item x="2"/>
        <item x="11"/>
        <item x="10"/>
        <item x="13"/>
        <item x="0"/>
        <item x="9"/>
        <item x="6"/>
        <item x="3"/>
        <item x="5"/>
        <item x="1"/>
        <item x="8"/>
        <item x="12"/>
        <item x="7"/>
        <item x="15"/>
        <item t="default"/>
      </items>
    </pivotField>
    <pivotField showAll="0">
      <items count="21">
        <item x="7"/>
        <item x="6"/>
        <item x="16"/>
        <item x="8"/>
        <item x="10"/>
        <item x="9"/>
        <item x="4"/>
        <item x="13"/>
        <item x="1"/>
        <item x="0"/>
        <item x="17"/>
        <item x="11"/>
        <item x="15"/>
        <item x="12"/>
        <item x="3"/>
        <item x="14"/>
        <item x="18"/>
        <item x="2"/>
        <item x="5"/>
        <item x="19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</pivotField>
    <pivotField multipleItemSelectionAllowed="1" showAll="0">
      <items count="6">
        <item h="1" x="0"/>
        <item h="1" x="1"/>
        <item x="3"/>
        <item x="2"/>
        <item h="1" x="4"/>
        <item t="default"/>
      </items>
    </pivotField>
    <pivotField showAll="0"/>
    <pivotField showAll="0"/>
    <pivotField showAll="0"/>
    <pivotField showAll="0"/>
    <pivotField dataField="1" multipleItemSelectionAllowed="1" showAll="0">
      <items count="9">
        <item x="1"/>
        <item h="1" x="0"/>
        <item h="1" x="5"/>
        <item h="1" x="2"/>
        <item h="1" x="6"/>
        <item h="1" x="4"/>
        <item h="1" x="3"/>
        <item h="1" x="7"/>
        <item t="default"/>
      </items>
    </pivotField>
    <pivotField showAll="0"/>
    <pivotField showAll="0">
      <items count="16">
        <item x="3"/>
        <item x="5"/>
        <item x="9"/>
        <item x="10"/>
        <item x="12"/>
        <item x="11"/>
        <item x="13"/>
        <item x="7"/>
        <item x="6"/>
        <item x="4"/>
        <item x="8"/>
        <item x="0"/>
        <item x="2"/>
        <item x="1"/>
        <item x="14"/>
        <item t="default"/>
      </items>
    </pivotField>
  </pivotFields>
  <rowFields count="2">
    <field x="6"/>
    <field x="3"/>
  </rowFields>
  <rowItems count="1">
    <i t="grand">
      <x/>
    </i>
  </rowItems>
  <colItems count="1">
    <i/>
  </colItems>
  <dataFields count="1">
    <dataField name="Sum of Sick Leaves" fld="12" baseField="0" baseItem="0"/>
  </dataFields>
  <chartFormats count="1">
    <chartFormat chart="4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GreaterThan" evalOrder="-1" id="5" stringValue1="3">
      <autoFilter ref="A1">
        <filterColumn colId="0">
          <customFilters>
            <customFilter operator="greaterThan" val="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786FC8-CC6F-416A-8E85-07C9A481168D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0">
  <location ref="D10:F27" firstHeaderRow="0" firstDataRow="1" firstDataCol="1"/>
  <pivotFields count="15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17">
        <item x="14"/>
        <item x="4"/>
        <item x="2"/>
        <item x="11"/>
        <item x="10"/>
        <item x="13"/>
        <item x="0"/>
        <item x="9"/>
        <item x="6"/>
        <item x="3"/>
        <item x="5"/>
        <item x="1"/>
        <item x="8"/>
        <item x="12"/>
        <item x="7"/>
        <item x="15"/>
        <item t="default"/>
      </items>
    </pivotField>
    <pivotField showAll="0">
      <items count="21">
        <item x="7"/>
        <item x="6"/>
        <item x="16"/>
        <item x="8"/>
        <item x="10"/>
        <item x="9"/>
        <item x="4"/>
        <item x="13"/>
        <item x="1"/>
        <item x="0"/>
        <item x="17"/>
        <item x="11"/>
        <item x="15"/>
        <item x="12"/>
        <item x="3"/>
        <item x="14"/>
        <item x="18"/>
        <item x="2"/>
        <item x="5"/>
        <item x="19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 sortType="descending">
      <items count="12">
        <item x="5"/>
        <item x="8"/>
        <item x="6"/>
        <item x="7"/>
        <item x="1"/>
        <item x="2"/>
        <item x="9"/>
        <item x="3"/>
        <item x="0"/>
        <item x="4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multipleItemSelectionAllowed="1" showAll="0">
      <items count="6">
        <item x="0"/>
        <item x="1"/>
        <item x="3"/>
        <item x="2"/>
        <item x="4"/>
        <item t="default"/>
      </items>
    </pivotField>
    <pivotField showAll="0"/>
    <pivotField dataField="1" showAll="0">
      <items count="21">
        <item x="14"/>
        <item x="15"/>
        <item x="4"/>
        <item x="9"/>
        <item x="17"/>
        <item x="8"/>
        <item x="10"/>
        <item x="0"/>
        <item x="3"/>
        <item x="6"/>
        <item x="12"/>
        <item x="11"/>
        <item x="18"/>
        <item x="5"/>
        <item x="2"/>
        <item x="16"/>
        <item x="1"/>
        <item x="7"/>
        <item x="13"/>
        <item x="19"/>
        <item t="default"/>
      </items>
    </pivotField>
    <pivotField showAll="0"/>
    <pivotField showAll="0"/>
    <pivotField multipleItemSelectionAllowed="1" showAll="0">
      <items count="9">
        <item x="1"/>
        <item h="1" x="0"/>
        <item h="1" x="5"/>
        <item h="1" x="2"/>
        <item h="1" x="6"/>
        <item h="1" x="4"/>
        <item h="1" x="3"/>
        <item h="1" x="7"/>
        <item t="default"/>
      </items>
    </pivotField>
    <pivotField showAll="0"/>
    <pivotField showAll="0">
      <items count="16">
        <item x="3"/>
        <item x="5"/>
        <item x="9"/>
        <item x="10"/>
        <item x="12"/>
        <item x="11"/>
        <item x="13"/>
        <item x="7"/>
        <item x="6"/>
        <item x="4"/>
        <item x="8"/>
        <item x="0"/>
        <item x="2"/>
        <item x="1"/>
        <item x="14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 Salary" fld="9" baseField="6" baseItem="0"/>
    <dataField name="Sum of Years" fld="5" baseField="0" baseItem="0"/>
  </dataFields>
  <chartFormats count="2">
    <chartFormat chart="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aptionGreaterThan" evalOrder="-1" id="5" stringValue1="3">
      <autoFilter ref="A1">
        <filterColumn colId="0">
          <customFilters>
            <customFilter operator="greaterThan" val="3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6D700-25CE-47DA-BC3B-FC992026DB78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B12" firstHeaderRow="1" firstDataRow="1" firstDataCol="1"/>
  <pivotFields count="15">
    <pivotField dataField="1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axis="axisRow" showAll="0">
      <items count="12">
        <item x="5"/>
        <item h="1" x="8"/>
        <item h="1" x="6"/>
        <item h="1" x="7"/>
        <item h="1" x="1"/>
        <item h="1" x="2"/>
        <item h="1" x="9"/>
        <item h="1" x="3"/>
        <item h="1" x="0"/>
        <item h="1" x="4"/>
        <item h="1" x="10"/>
        <item t="default"/>
      </items>
    </pivotField>
    <pivotField showAll="0">
      <items count="6">
        <item h="1" x="0"/>
        <item x="1"/>
        <item h="1" x="3"/>
        <item h="1" x="2"/>
        <item h="1" x="4"/>
        <item t="default"/>
      </items>
    </pivotField>
    <pivotField showAll="0"/>
    <pivotField showAll="0"/>
    <pivotField showAll="0"/>
    <pivotField showAll="0"/>
    <pivotField multipleItemSelectionAllowed="1" showAll="0">
      <items count="9">
        <item x="1"/>
        <item h="1" x="0"/>
        <item h="1" x="5"/>
        <item h="1" x="2"/>
        <item h="1" x="6"/>
        <item h="1" x="4"/>
        <item h="1" x="3"/>
        <item h="1" x="7"/>
        <item t="default"/>
      </items>
    </pivotField>
    <pivotField showAll="0"/>
    <pivotField showAll="0">
      <items count="16">
        <item h="1" x="3"/>
        <item x="5"/>
        <item h="1" x="9"/>
        <item h="1" x="10"/>
        <item h="1" x="12"/>
        <item h="1" x="11"/>
        <item h="1" x="13"/>
        <item h="1" x="7"/>
        <item h="1" x="6"/>
        <item h="1" x="4"/>
        <item h="1" x="8"/>
        <item h="1" x="0"/>
        <item h="1" x="2"/>
        <item h="1" x="1"/>
        <item h="1" x="14"/>
        <item t="default"/>
      </items>
    </pivotField>
  </pivotFields>
  <rowFields count="1">
    <field x="6"/>
  </rowFields>
  <rowItems count="2">
    <i>
      <x/>
    </i>
    <i t="grand">
      <x/>
    </i>
  </rowItems>
  <colItems count="1">
    <i/>
  </colItems>
  <dataFields count="1">
    <dataField name="Count of 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EFADD-4CAB-4622-85C1-6E0F3FAF4A94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C33" firstHeaderRow="1" firstDataRow="1" firstDataCol="0"/>
  <pivotFields count="15">
    <pivotField showAll="0">
      <items count="6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numFmtId="14" showAll="0"/>
    <pivotField numFmtId="1"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A13B73-F2C4-48D4-B578-E4E270674DE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3:G20" firstHeaderRow="0" firstDataRow="1" firstDataCol="1"/>
  <pivotFields count="15">
    <pivotField showAll="0">
      <items count="6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showAll="0"/>
    <pivotField showAll="0"/>
    <pivotField showAll="0"/>
    <pivotField numFmtId="14" showAll="0"/>
    <pivotField axis="axisRow" numFmtId="1" showAll="0">
      <items count="7">
        <item x="1"/>
        <item x="4"/>
        <item x="0"/>
        <item x="2"/>
        <item x="5"/>
        <item x="3"/>
        <item t="default"/>
      </items>
    </pivotField>
    <pivotField showAll="0"/>
    <pivotField showAll="0">
      <items count="6">
        <item x="0"/>
        <item x="4"/>
        <item x="1"/>
        <item x="3"/>
        <item x="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onthly Salary" fld="9" baseField="0" baseItem="0"/>
    <dataField name="Sum of Annual Salary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709916-08FA-477C-AF77-0CF662B857A4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8" firstHeaderRow="1" firstDataRow="1" firstDataCol="1"/>
  <pivotFields count="15">
    <pivotField dataField="1" showAll="0">
      <items count="6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numFmtId="14" showAll="0"/>
    <pivotField numFmtId="1" showAll="0"/>
    <pivotField showAll="0"/>
    <pivotField showAll="0">
      <items count="6">
        <item x="0"/>
        <item x="4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8A7A42-C71A-4743-A9BF-4F1E1C2B3D5F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dataField="1" showAll="0">
      <items count="6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t="default"/>
      </items>
    </pivotField>
    <pivotField showAll="0"/>
    <pivotField showAll="0"/>
    <pivotField showAll="0"/>
    <pivotField numFmtId="14" showAll="0"/>
    <pivotField numFmtId="1" showAll="0"/>
    <pivotField showAll="0"/>
    <pivotField axis="axisRow" showAll="0" sortType="descending">
      <items count="6">
        <item x="0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4"/>
    </i>
    <i>
      <x v="2"/>
    </i>
    <i>
      <x v="3"/>
    </i>
    <i>
      <x v="1"/>
    </i>
    <i t="grand">
      <x/>
    </i>
  </rowItems>
  <colItems count="1">
    <i/>
  </colItems>
  <dataFields count="1">
    <dataField name="Sum of 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J17:N22" totalsRowShown="0" headerRowDxfId="91" dataDxfId="90" tableBorderDxfId="89">
  <autoFilter ref="J17:N22" xr:uid="{00000000-0009-0000-0100-000003000000}"/>
  <tableColumns count="5">
    <tableColumn id="1" xr3:uid="{00000000-0010-0000-0100-000001000000}" name="Last Name" dataDxfId="88"/>
    <tableColumn id="2" xr3:uid="{00000000-0010-0000-0100-000002000000}" name="Gender" dataDxfId="87"/>
    <tableColumn id="3" xr3:uid="{00000000-0010-0000-0100-000003000000}" name="Start Date" dataDxfId="86"/>
    <tableColumn id="4" xr3:uid="{00000000-0010-0000-0100-000004000000}" name="Years" dataDxfId="85">
      <calculatedColumnFormula>DATEDIF(EmpTable[[#This Row],[Start Date]],TODAY(),"Y")</calculatedColumnFormula>
    </tableColumn>
    <tableColumn id="5" xr3:uid="{00000000-0010-0000-0100-000005000000}" name="Department" dataDxfId="8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M25:O28" totalsRowShown="0" headerRowDxfId="83" headerRowBorderDxfId="82" tableBorderDxfId="81" totalsRowBorderDxfId="80">
  <autoFilter ref="M25:O28" xr:uid="{00000000-0009-0000-0100-000004000000}"/>
  <tableColumns count="3">
    <tableColumn id="1" xr3:uid="{00000000-0010-0000-0200-000001000000}" name="Column1" dataDxfId="79"/>
    <tableColumn id="2" xr3:uid="{00000000-0010-0000-0200-000002000000}" name="Column2" dataDxfId="78"/>
    <tableColumn id="3" xr3:uid="{00000000-0010-0000-0200-000003000000}" name="Column3" dataDxfId="77">
      <calculatedColumnFormula>Table4[[#This Row],[Column2]]+Table4[[#This Row],[Column1]]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A1:O22" totalsRowShown="0" headerRowDxfId="76" dataDxfId="75" tableBorderDxfId="74">
  <autoFilter ref="A1:O22" xr:uid="{00000000-0009-0000-0100-000006000000}"/>
  <tableColumns count="15">
    <tableColumn id="1" xr3:uid="{00000000-0010-0000-0300-000001000000}" name="ID" dataDxfId="73" totalsRowDxfId="72"/>
    <tableColumn id="2" xr3:uid="{00000000-0010-0000-0300-000002000000}" name="First Name" dataDxfId="71" totalsRowDxfId="70"/>
    <tableColumn id="3" xr3:uid="{00000000-0010-0000-0300-000003000000}" name="Last Name" dataDxfId="69" totalsRowDxfId="68"/>
    <tableColumn id="4" xr3:uid="{00000000-0010-0000-0300-000004000000}" name="Gender" dataDxfId="67" totalsRowDxfId="66"/>
    <tableColumn id="5" xr3:uid="{00000000-0010-0000-0300-000005000000}" name="Start Date" dataDxfId="65" totalsRowDxfId="64"/>
    <tableColumn id="6" xr3:uid="{00000000-0010-0000-0300-000006000000}" name="Years" dataDxfId="63" totalsRowDxfId="62">
      <calculatedColumnFormula>DATEDIF(EmpTable[[#This Row],[Start Date]],TODAY(),"Y")</calculatedColumnFormula>
    </tableColumn>
    <tableColumn id="7" xr3:uid="{00000000-0010-0000-0300-000007000000}" name="Department" dataDxfId="61" totalsRowDxfId="60"/>
    <tableColumn id="8" xr3:uid="{00000000-0010-0000-0300-000008000000}" name="Country" dataDxfId="59" totalsRowDxfId="58"/>
    <tableColumn id="9" xr3:uid="{00000000-0010-0000-0300-000009000000}" name="Center" dataDxfId="57" totalsRowDxfId="56"/>
    <tableColumn id="10" xr3:uid="{00000000-0010-0000-0300-00000A000000}" name="Monthly Salary" dataDxfId="55" totalsRowDxfId="54"/>
    <tableColumn id="11" xr3:uid="{00000000-0010-0000-0300-00000B000000}" name="Annual Salary" dataDxfId="53" totalsRowDxfId="52"/>
    <tableColumn id="12" xr3:uid="{00000000-0010-0000-0300-00000C000000}" name="Job Rate" dataDxfId="51" totalsRowDxfId="50"/>
    <tableColumn id="13" xr3:uid="{00000000-0010-0000-0300-00000D000000}" name="Sick Leaves" dataDxfId="49" totalsRowDxfId="48"/>
    <tableColumn id="14" xr3:uid="{00000000-0010-0000-0300-00000E000000}" name="Unpaid Leaves" dataDxfId="47" totalsRowDxfId="46"/>
    <tableColumn id="15" xr3:uid="{00000000-0010-0000-0300-00000F000000}" name="Overtime Hours" dataDxfId="45" totalsRowDxfId="44"/>
  </tableColumns>
  <tableStyleInfo name="TableStyleMedium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15EF88-18C4-47D1-9E67-6B26F877C426}" name="Table2" displayName="Table2" ref="B28:C28" headerRowCount="0" totalsRowShown="0">
  <tableColumns count="2">
    <tableColumn id="1" xr3:uid="{BBA85A79-396A-4102-BCF2-936FA7DD6DF3}" name="Column1" headerRowDxfId="43" dataDxfId="42"/>
    <tableColumn id="2" xr3:uid="{57C3BED0-3B43-41CA-B667-F5D211029CF6}" name="Column2" headerRowDxfId="41" dataDxfId="4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Table" displayName="EmpTable" ref="A1:O690" totalsRowShown="0">
  <autoFilter ref="A1:O690" xr:uid="{00000000-0009-0000-0100-000001000000}"/>
  <tableColumns count="15">
    <tableColumn id="1" xr3:uid="{00000000-0010-0000-0000-000001000000}" name="ID"/>
    <tableColumn id="2" xr3:uid="{00000000-0010-0000-0000-000002000000}" name="First Name"/>
    <tableColumn id="3" xr3:uid="{00000000-0010-0000-0000-000003000000}" name="Last Name"/>
    <tableColumn id="4" xr3:uid="{00000000-0010-0000-0000-000004000000}" name="Gender"/>
    <tableColumn id="5" xr3:uid="{00000000-0010-0000-0000-000005000000}" name="Start Date" dataDxfId="39"/>
    <tableColumn id="16" xr3:uid="{00000000-0010-0000-0000-000010000000}" name="Years" dataDxfId="38">
      <calculatedColumnFormula>DATEDIF(EmpTable[[#This Row],[Start Date]],TODAY(),"Y")</calculatedColumnFormula>
    </tableColumn>
    <tableColumn id="6" xr3:uid="{00000000-0010-0000-0000-000006000000}" name="Department"/>
    <tableColumn id="9" xr3:uid="{00000000-0010-0000-0000-000009000000}" name="Country" dataDxfId="37"/>
    <tableColumn id="7" xr3:uid="{00000000-0010-0000-0000-000007000000}" name="Center"/>
    <tableColumn id="10" xr3:uid="{00000000-0010-0000-0000-00000A000000}" name="Monthly Salary"/>
    <tableColumn id="15" xr3:uid="{00000000-0010-0000-0000-00000F000000}" name="Annual Salary" dataDxfId="36"/>
    <tableColumn id="11" xr3:uid="{00000000-0010-0000-0000-00000B000000}" name="Job Rate" dataDxfId="35"/>
    <tableColumn id="12" xr3:uid="{00000000-0010-0000-0000-00000C000000}" name="Sick Leaves" dataDxfId="34"/>
    <tableColumn id="13" xr3:uid="{00000000-0010-0000-0000-00000D000000}" name="Unpaid Leaves" dataDxfId="33"/>
    <tableColumn id="14" xr3:uid="{00000000-0010-0000-0000-00000E000000}" name="Overtime Hours" dataDxfId="3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4" Type="http://schemas.openxmlformats.org/officeDocument/2006/relationships/pivotTable" Target="../pivotTables/pivot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3"/>
  <sheetViews>
    <sheetView topLeftCell="A33" zoomScaleNormal="100" workbookViewId="0">
      <selection activeCell="J57" sqref="J57"/>
    </sheetView>
  </sheetViews>
  <sheetFormatPr defaultRowHeight="15.6" x14ac:dyDescent="0.3"/>
  <cols>
    <col min="3" max="3" width="14.3984375" bestFit="1" customWidth="1"/>
    <col min="4" max="4" width="11.59765625" bestFit="1" customWidth="1"/>
    <col min="5" max="5" width="27.3984375" bestFit="1" customWidth="1"/>
    <col min="8" max="8" width="3.19921875" customWidth="1"/>
    <col min="10" max="10" width="11.3984375" customWidth="1"/>
    <col min="11" max="11" width="9.69921875" customWidth="1"/>
    <col min="12" max="12" width="11" customWidth="1"/>
    <col min="13" max="13" width="9.8984375" customWidth="1"/>
    <col min="14" max="14" width="16.69921875" bestFit="1" customWidth="1"/>
    <col min="15" max="15" width="9.8984375" customWidth="1"/>
    <col min="17" max="17" width="3.19921875" customWidth="1"/>
    <col min="19" max="19" width="16.8984375" customWidth="1"/>
    <col min="21" max="21" width="10.19921875" bestFit="1" customWidth="1"/>
    <col min="22" max="22" width="23.3984375" bestFit="1" customWidth="1"/>
    <col min="25" max="25" width="16.09765625" bestFit="1" customWidth="1"/>
  </cols>
  <sheetData>
    <row r="1" spans="1:17" x14ac:dyDescent="0.3">
      <c r="E1" s="6"/>
      <c r="H1" s="15"/>
      <c r="Q1" s="15"/>
    </row>
    <row r="2" spans="1:17" x14ac:dyDescent="0.3">
      <c r="H2" s="15"/>
      <c r="Q2" s="15"/>
    </row>
    <row r="3" spans="1:17" ht="15.75" customHeight="1" x14ac:dyDescent="0.3">
      <c r="C3" s="105" t="s">
        <v>899</v>
      </c>
      <c r="D3" s="105"/>
      <c r="E3" s="105"/>
      <c r="F3" s="105"/>
      <c r="H3" s="15"/>
      <c r="K3" s="105" t="s">
        <v>905</v>
      </c>
      <c r="L3" s="105"/>
      <c r="M3" s="105"/>
      <c r="N3" s="105"/>
      <c r="Q3" s="15"/>
    </row>
    <row r="4" spans="1:17" ht="15.75" customHeight="1" x14ac:dyDescent="0.3">
      <c r="C4" s="105"/>
      <c r="D4" s="105"/>
      <c r="E4" s="105"/>
      <c r="F4" s="105"/>
      <c r="H4" s="15"/>
      <c r="K4" s="105"/>
      <c r="L4" s="105"/>
      <c r="M4" s="105"/>
      <c r="N4" s="105"/>
      <c r="Q4" s="15"/>
    </row>
    <row r="5" spans="1:17" x14ac:dyDescent="0.3">
      <c r="H5" s="15"/>
      <c r="Q5" s="15"/>
    </row>
    <row r="6" spans="1:17" ht="17.399999999999999" x14ac:dyDescent="0.45">
      <c r="H6" s="15"/>
      <c r="J6" s="16" t="s">
        <v>902</v>
      </c>
      <c r="L6" s="18" t="s">
        <v>898</v>
      </c>
      <c r="M6" s="18" t="s">
        <v>903</v>
      </c>
      <c r="N6" s="18" t="s">
        <v>904</v>
      </c>
      <c r="Q6" s="15"/>
    </row>
    <row r="7" spans="1:17" ht="15.75" customHeight="1" x14ac:dyDescent="0.3">
      <c r="A7" s="10" t="s">
        <v>900</v>
      </c>
      <c r="C7" s="12" t="s">
        <v>902</v>
      </c>
      <c r="E7" s="8"/>
      <c r="H7" s="15"/>
      <c r="L7" s="17"/>
      <c r="M7" s="17"/>
      <c r="N7" s="17"/>
      <c r="Q7" s="15"/>
    </row>
    <row r="8" spans="1:17" x14ac:dyDescent="0.3">
      <c r="H8" s="15"/>
      <c r="L8" s="17"/>
      <c r="M8" s="17"/>
      <c r="N8" s="17"/>
      <c r="Q8" s="15"/>
    </row>
    <row r="9" spans="1:17" x14ac:dyDescent="0.3">
      <c r="H9" s="15"/>
      <c r="I9" s="110" t="s">
        <v>906</v>
      </c>
      <c r="J9" s="110"/>
      <c r="K9" s="111"/>
      <c r="L9" s="17"/>
      <c r="M9" s="17"/>
      <c r="N9" s="17"/>
      <c r="Q9" s="15"/>
    </row>
    <row r="10" spans="1:17" x14ac:dyDescent="0.3">
      <c r="A10" s="11" t="s">
        <v>901</v>
      </c>
      <c r="C10" s="8"/>
      <c r="E10" s="13" t="s">
        <v>902</v>
      </c>
      <c r="H10" s="15"/>
      <c r="Q10" s="15"/>
    </row>
    <row r="11" spans="1:17" x14ac:dyDescent="0.3">
      <c r="H11" s="15"/>
      <c r="Q11" s="15"/>
    </row>
    <row r="12" spans="1:17" x14ac:dyDescent="0.3">
      <c r="A12" s="15"/>
      <c r="B12" s="15"/>
      <c r="C12" s="14"/>
      <c r="D12" s="15"/>
      <c r="E12" s="15"/>
      <c r="F12" s="14"/>
      <c r="G12" s="15"/>
      <c r="H12" s="15"/>
      <c r="I12" s="14"/>
      <c r="J12" s="14"/>
      <c r="K12" s="14"/>
      <c r="L12" s="14"/>
      <c r="M12" s="14"/>
      <c r="N12" s="14"/>
      <c r="O12" s="14"/>
      <c r="P12" s="15"/>
      <c r="Q12" s="15"/>
    </row>
    <row r="13" spans="1:17" x14ac:dyDescent="0.3">
      <c r="H13" s="26"/>
      <c r="Q13" s="26"/>
    </row>
    <row r="14" spans="1:17" x14ac:dyDescent="0.3">
      <c r="C14" s="105" t="s">
        <v>908</v>
      </c>
      <c r="D14" s="105"/>
      <c r="E14" s="105"/>
      <c r="F14" s="105"/>
      <c r="H14" s="26"/>
      <c r="K14" s="105" t="s">
        <v>914</v>
      </c>
      <c r="L14" s="105"/>
      <c r="M14" s="105"/>
      <c r="N14" s="105"/>
      <c r="O14" s="105"/>
      <c r="Q14" s="26"/>
    </row>
    <row r="15" spans="1:17" x14ac:dyDescent="0.3">
      <c r="C15" s="105"/>
      <c r="D15" s="105"/>
      <c r="E15" s="105"/>
      <c r="F15" s="105"/>
      <c r="H15" s="26"/>
      <c r="K15" s="105"/>
      <c r="L15" s="105"/>
      <c r="M15" s="105"/>
      <c r="N15" s="105"/>
      <c r="O15" s="105"/>
      <c r="Q15" s="26"/>
    </row>
    <row r="16" spans="1:17" x14ac:dyDescent="0.3">
      <c r="H16" s="26"/>
      <c r="Q16" s="26"/>
    </row>
    <row r="17" spans="1:17" x14ac:dyDescent="0.3">
      <c r="C17" s="20" t="s">
        <v>909</v>
      </c>
      <c r="E17" s="12">
        <v>500000</v>
      </c>
      <c r="H17" s="26"/>
      <c r="J17" s="28" t="s">
        <v>1</v>
      </c>
      <c r="K17" s="28" t="s">
        <v>2</v>
      </c>
      <c r="L17" s="29" t="s">
        <v>3</v>
      </c>
      <c r="M17" s="29" t="s">
        <v>4</v>
      </c>
      <c r="N17" s="28" t="s">
        <v>5</v>
      </c>
      <c r="Q17" s="26"/>
    </row>
    <row r="18" spans="1:17" x14ac:dyDescent="0.3">
      <c r="H18" s="26"/>
      <c r="J18" s="3" t="s">
        <v>15</v>
      </c>
      <c r="K18" s="3" t="s">
        <v>31</v>
      </c>
      <c r="L18" s="4">
        <v>43194</v>
      </c>
      <c r="M18" s="5">
        <f ca="1">DATEDIF(EmpTable[[#This Row],[Start Date]],TODAY(),"Y")</f>
        <v>9</v>
      </c>
      <c r="N18" s="3" t="s">
        <v>16</v>
      </c>
      <c r="Q18" s="26"/>
    </row>
    <row r="19" spans="1:17" x14ac:dyDescent="0.3">
      <c r="C19" s="20" t="s">
        <v>908</v>
      </c>
      <c r="E19" s="19">
        <v>500000</v>
      </c>
      <c r="H19" s="26"/>
      <c r="J19" s="3" t="s">
        <v>20</v>
      </c>
      <c r="K19" s="3" t="s">
        <v>31</v>
      </c>
      <c r="L19" s="4">
        <v>43972</v>
      </c>
      <c r="M19" s="5">
        <f ca="1">DATEDIF(EmpTable[[#This Row],[Start Date]],TODAY(),"Y")</f>
        <v>7</v>
      </c>
      <c r="N19" s="3" t="s">
        <v>16</v>
      </c>
      <c r="Q19" s="26"/>
    </row>
    <row r="20" spans="1:17" x14ac:dyDescent="0.3">
      <c r="H20" s="26"/>
      <c r="J20" s="3" t="s">
        <v>23</v>
      </c>
      <c r="K20" s="3" t="s">
        <v>306</v>
      </c>
      <c r="L20" s="4">
        <v>43006</v>
      </c>
      <c r="M20" s="5">
        <f ca="1">DATEDIF(EmpTable[[#This Row],[Start Date]],TODAY(),"Y")</f>
        <v>7</v>
      </c>
      <c r="N20" s="3" t="s">
        <v>24</v>
      </c>
      <c r="Q20" s="26"/>
    </row>
    <row r="21" spans="1:17" x14ac:dyDescent="0.3">
      <c r="C21" s="20" t="s">
        <v>910</v>
      </c>
      <c r="E21" s="21">
        <v>500000</v>
      </c>
      <c r="H21" s="26"/>
      <c r="J21" s="3" t="s">
        <v>26</v>
      </c>
      <c r="K21" s="3" t="s">
        <v>31</v>
      </c>
      <c r="L21" s="4">
        <v>43326</v>
      </c>
      <c r="M21" s="5">
        <f ca="1">DATEDIF(EmpTable[[#This Row],[Start Date]],TODAY(),"Y")</f>
        <v>6</v>
      </c>
      <c r="N21" s="3" t="s">
        <v>27</v>
      </c>
      <c r="Q21" s="26"/>
    </row>
    <row r="22" spans="1:17" x14ac:dyDescent="0.3">
      <c r="H22" s="26"/>
      <c r="J22" s="3" t="s">
        <v>30</v>
      </c>
      <c r="K22" s="3" t="s">
        <v>31</v>
      </c>
      <c r="L22" s="4">
        <v>43901</v>
      </c>
      <c r="M22" s="5">
        <f ca="1">DATEDIF(EmpTable[[#This Row],[Start Date]],TODAY(),"Y")</f>
        <v>5</v>
      </c>
      <c r="N22" s="3" t="s">
        <v>27</v>
      </c>
      <c r="Q22" s="26"/>
    </row>
    <row r="23" spans="1:17" x14ac:dyDescent="0.3">
      <c r="C23" s="20" t="s">
        <v>911</v>
      </c>
      <c r="E23" s="22">
        <v>500000</v>
      </c>
      <c r="H23" s="26"/>
      <c r="Q23" s="26"/>
    </row>
    <row r="24" spans="1:17" x14ac:dyDescent="0.3">
      <c r="H24" s="26"/>
      <c r="J24" t="s">
        <v>907</v>
      </c>
      <c r="Q24" s="26"/>
    </row>
    <row r="25" spans="1:17" x14ac:dyDescent="0.3">
      <c r="C25" s="20" t="s">
        <v>912</v>
      </c>
      <c r="E25" s="23" t="s">
        <v>913</v>
      </c>
      <c r="H25" s="26"/>
      <c r="I25" s="30"/>
      <c r="J25" s="30"/>
      <c r="K25" s="30"/>
      <c r="M25" s="33" t="s">
        <v>916</v>
      </c>
      <c r="N25" s="34" t="s">
        <v>917</v>
      </c>
      <c r="O25" s="35" t="s">
        <v>918</v>
      </c>
      <c r="Q25" s="26"/>
    </row>
    <row r="26" spans="1:17" x14ac:dyDescent="0.3">
      <c r="H26" s="26"/>
      <c r="I26" s="17"/>
      <c r="J26" s="17"/>
      <c r="K26" s="17">
        <f>J26+I26</f>
        <v>0</v>
      </c>
      <c r="M26" s="31"/>
      <c r="N26" s="17"/>
      <c r="O26" s="32">
        <f>Table4[[#This Row],[Column2]]+Table4[[#This Row],[Column1]]</f>
        <v>0</v>
      </c>
      <c r="Q26" s="26"/>
    </row>
    <row r="27" spans="1:17" x14ac:dyDescent="0.3">
      <c r="H27" s="26"/>
      <c r="I27" s="17"/>
      <c r="J27" s="17"/>
      <c r="K27" s="17"/>
      <c r="M27" s="31"/>
      <c r="N27" s="17"/>
      <c r="O27" s="32">
        <f>Table4[[#This Row],[Column2]]+Table4[[#This Row],[Column1]]</f>
        <v>0</v>
      </c>
      <c r="Q27" s="26"/>
    </row>
    <row r="28" spans="1:17" x14ac:dyDescent="0.3">
      <c r="H28" s="26"/>
      <c r="I28" s="17"/>
      <c r="J28" s="17"/>
      <c r="K28" s="17"/>
      <c r="M28" s="36"/>
      <c r="N28" s="37"/>
      <c r="O28" s="38">
        <f>Table4[[#This Row],[Column2]]+Table4[[#This Row],[Column1]]</f>
        <v>0</v>
      </c>
      <c r="Q28" s="26"/>
    </row>
    <row r="29" spans="1:17" x14ac:dyDescent="0.3">
      <c r="C29" s="6">
        <v>10121452</v>
      </c>
      <c r="E29" s="24">
        <v>37117</v>
      </c>
      <c r="H29" s="26"/>
      <c r="Q29" s="26"/>
    </row>
    <row r="30" spans="1:17" x14ac:dyDescent="0.3">
      <c r="C30" s="27" t="s">
        <v>915</v>
      </c>
      <c r="E30" s="25">
        <v>37117</v>
      </c>
      <c r="H30" s="26"/>
      <c r="Q30" s="26"/>
    </row>
    <row r="31" spans="1:17" x14ac:dyDescent="0.3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</row>
    <row r="33" spans="1:23" x14ac:dyDescent="0.3">
      <c r="C33" s="105" t="s">
        <v>919</v>
      </c>
      <c r="D33" s="105"/>
      <c r="E33" s="105"/>
    </row>
    <row r="34" spans="1:23" x14ac:dyDescent="0.3">
      <c r="C34" s="105"/>
      <c r="D34" s="105"/>
      <c r="E34" s="105"/>
      <c r="J34" s="105" t="s">
        <v>953</v>
      </c>
      <c r="K34" s="105"/>
      <c r="L34" s="105"/>
    </row>
    <row r="35" spans="1:23" x14ac:dyDescent="0.3">
      <c r="J35" s="105"/>
      <c r="K35" s="105"/>
      <c r="L35" s="105"/>
    </row>
    <row r="36" spans="1:23" x14ac:dyDescent="0.3">
      <c r="A36" s="40">
        <v>10</v>
      </c>
      <c r="C36" s="20" t="s">
        <v>920</v>
      </c>
      <c r="D36" s="8">
        <f>A36+A37</f>
        <v>12</v>
      </c>
    </row>
    <row r="37" spans="1:23" ht="15.75" customHeight="1" x14ac:dyDescent="0.3">
      <c r="A37" s="40">
        <v>2</v>
      </c>
      <c r="C37" s="20" t="s">
        <v>921</v>
      </c>
      <c r="D37" s="8">
        <f>A36-A37</f>
        <v>8</v>
      </c>
      <c r="J37" s="108" t="s">
        <v>955</v>
      </c>
      <c r="K37" s="104" t="s">
        <v>954</v>
      </c>
      <c r="W37">
        <f>10*0.1 *12</f>
        <v>12</v>
      </c>
    </row>
    <row r="38" spans="1:23" ht="15.75" customHeight="1" x14ac:dyDescent="0.3">
      <c r="C38" s="20" t="s">
        <v>922</v>
      </c>
      <c r="D38" s="8">
        <f>10/2</f>
        <v>5</v>
      </c>
      <c r="J38" s="108"/>
      <c r="K38" s="104"/>
    </row>
    <row r="39" spans="1:23" x14ac:dyDescent="0.3">
      <c r="C39" s="20" t="s">
        <v>923</v>
      </c>
      <c r="D39" s="8">
        <f>10*2</f>
        <v>20</v>
      </c>
    </row>
    <row r="40" spans="1:23" x14ac:dyDescent="0.3">
      <c r="D40" t="s">
        <v>907</v>
      </c>
    </row>
    <row r="41" spans="1:23" x14ac:dyDescent="0.3">
      <c r="J41" s="108" t="s">
        <v>956</v>
      </c>
      <c r="K41" s="104">
        <v>25</v>
      </c>
    </row>
    <row r="42" spans="1:23" ht="15.75" customHeight="1" x14ac:dyDescent="0.3">
      <c r="C42" s="105" t="s">
        <v>924</v>
      </c>
      <c r="D42" s="105"/>
      <c r="E42" s="105"/>
      <c r="J42" s="108"/>
      <c r="K42" s="104"/>
    </row>
    <row r="43" spans="1:23" ht="15.75" customHeight="1" x14ac:dyDescent="0.3">
      <c r="C43" s="105"/>
      <c r="D43" s="105"/>
      <c r="E43" s="105"/>
    </row>
    <row r="44" spans="1:23" ht="15.75" customHeight="1" x14ac:dyDescent="0.3">
      <c r="J44" s="108" t="s">
        <v>958</v>
      </c>
      <c r="K44" s="109" t="s">
        <v>959</v>
      </c>
      <c r="L44" s="109"/>
    </row>
    <row r="45" spans="1:23" ht="15.75" customHeight="1" x14ac:dyDescent="0.3">
      <c r="C45" t="s">
        <v>948</v>
      </c>
      <c r="D45" t="s">
        <v>934</v>
      </c>
      <c r="E45" t="s">
        <v>961</v>
      </c>
      <c r="J45" s="108"/>
      <c r="K45" s="109"/>
      <c r="L45" s="109"/>
    </row>
    <row r="46" spans="1:23" x14ac:dyDescent="0.3">
      <c r="C46" t="s">
        <v>949</v>
      </c>
      <c r="D46" t="s">
        <v>935</v>
      </c>
      <c r="E46" t="s">
        <v>970</v>
      </c>
    </row>
    <row r="47" spans="1:23" x14ac:dyDescent="0.3">
      <c r="C47" t="s">
        <v>950</v>
      </c>
      <c r="D47" t="s">
        <v>939</v>
      </c>
      <c r="E47" t="s">
        <v>974</v>
      </c>
    </row>
    <row r="48" spans="1:23" x14ac:dyDescent="0.3">
      <c r="C48" t="s">
        <v>951</v>
      </c>
      <c r="D48" t="s">
        <v>944</v>
      </c>
    </row>
    <row r="49" spans="3:5" x14ac:dyDescent="0.3">
      <c r="C49" t="s">
        <v>952</v>
      </c>
      <c r="D49" t="s">
        <v>960</v>
      </c>
    </row>
    <row r="50" spans="3:5" ht="15.75" customHeight="1" x14ac:dyDescent="0.3">
      <c r="C50" s="107" t="s">
        <v>984</v>
      </c>
      <c r="D50" s="107"/>
      <c r="E50" s="107"/>
    </row>
    <row r="51" spans="3:5" x14ac:dyDescent="0.3">
      <c r="C51" s="107"/>
      <c r="D51" s="107"/>
      <c r="E51" s="107"/>
    </row>
    <row r="52" spans="3:5" x14ac:dyDescent="0.3">
      <c r="C52" s="106" t="s">
        <v>989</v>
      </c>
      <c r="D52" s="106"/>
      <c r="E52" s="106"/>
    </row>
    <row r="53" spans="3:5" x14ac:dyDescent="0.3">
      <c r="C53" s="106"/>
      <c r="D53" s="106"/>
      <c r="E53" s="106"/>
    </row>
  </sheetData>
  <mergeCells count="17">
    <mergeCell ref="C3:F4"/>
    <mergeCell ref="K3:N4"/>
    <mergeCell ref="I9:K9"/>
    <mergeCell ref="C14:F15"/>
    <mergeCell ref="K14:N15"/>
    <mergeCell ref="K41:K42"/>
    <mergeCell ref="C33:E34"/>
    <mergeCell ref="C52:E53"/>
    <mergeCell ref="O14:O15"/>
    <mergeCell ref="C50:E51"/>
    <mergeCell ref="J44:J45"/>
    <mergeCell ref="K44:L45"/>
    <mergeCell ref="C42:E43"/>
    <mergeCell ref="J34:L35"/>
    <mergeCell ref="J37:J38"/>
    <mergeCell ref="K37:K38"/>
    <mergeCell ref="J41:J42"/>
  </mergeCells>
  <conditionalFormatting sqref="M18:M22">
    <cfRule type="cellIs" dxfId="31" priority="2" operator="lessThan">
      <formula>6</formula>
    </cfRule>
    <cfRule type="cellIs" dxfId="30" priority="3" operator="greaterThan">
      <formula>7</formula>
    </cfRule>
  </conditionalFormatting>
  <dataValidations count="3">
    <dataValidation type="list" allowBlank="1" showInputMessage="1" showErrorMessage="1" errorTitle="yes or No only" sqref="K37:K38" xr:uid="{00000000-0002-0000-0100-000000000000}">
      <formula1>"yes , no"</formula1>
    </dataValidation>
    <dataValidation type="whole" allowBlank="1" showInputMessage="1" showErrorMessage="1" errorTitle="Range between 18 to 40" sqref="K41:K42" xr:uid="{00000000-0002-0000-0100-000001000000}">
      <formula1>18</formula1>
      <formula2>40</formula2>
    </dataValidation>
    <dataValidation type="textLength" operator="equal" allowBlank="1" showInputMessage="1" showErrorMessage="1" errorTitle="PHONE number = 11" sqref="K44:L45" xr:uid="{00000000-0002-0000-0100-000002000000}">
      <formula1>11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73"/>
  <sheetViews>
    <sheetView zoomScale="85" zoomScaleNormal="85" workbookViewId="0">
      <selection activeCell="B7" sqref="B7"/>
    </sheetView>
  </sheetViews>
  <sheetFormatPr defaultRowHeight="15.6" x14ac:dyDescent="0.3"/>
  <cols>
    <col min="2" max="2" width="23.796875" customWidth="1"/>
    <col min="3" max="3" width="11.3984375" customWidth="1"/>
    <col min="4" max="4" width="16.69921875" bestFit="1" customWidth="1"/>
    <col min="5" max="5" width="16.8984375" customWidth="1"/>
    <col min="6" max="6" width="9.8984375" bestFit="1" customWidth="1"/>
    <col min="7" max="7" width="19.69921875" bestFit="1" customWidth="1"/>
    <col min="8" max="8" width="19.09765625" bestFit="1" customWidth="1"/>
    <col min="9" max="9" width="10.296875" bestFit="1" customWidth="1"/>
    <col min="10" max="10" width="15.3984375" customWidth="1"/>
    <col min="11" max="12" width="18.3984375" bestFit="1" customWidth="1"/>
    <col min="13" max="13" width="13.8984375" bestFit="1" customWidth="1"/>
    <col min="14" max="14" width="19.69921875" bestFit="1" customWidth="1"/>
    <col min="15" max="15" width="15.296875" customWidth="1"/>
    <col min="16" max="16" width="13.8984375" bestFit="1" customWidth="1"/>
  </cols>
  <sheetData>
    <row r="1" spans="1:15" x14ac:dyDescent="0.3">
      <c r="A1" s="28" t="s">
        <v>898</v>
      </c>
      <c r="B1" s="28" t="s">
        <v>0</v>
      </c>
      <c r="C1" s="28" t="s">
        <v>1</v>
      </c>
      <c r="D1" s="28" t="s">
        <v>2</v>
      </c>
      <c r="E1" s="29" t="s">
        <v>3</v>
      </c>
      <c r="F1" s="29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</row>
    <row r="2" spans="1:15" x14ac:dyDescent="0.3">
      <c r="A2">
        <v>280</v>
      </c>
      <c r="B2" s="3" t="s">
        <v>14</v>
      </c>
      <c r="C2" s="3" t="s">
        <v>15</v>
      </c>
      <c r="D2" s="3" t="s">
        <v>31</v>
      </c>
      <c r="E2" s="4">
        <v>43194</v>
      </c>
      <c r="F2" s="5">
        <f ca="1">DATEDIF(EmpTable[[#This Row],[Start Date]],TODAY(),"Y")</f>
        <v>7</v>
      </c>
      <c r="G2" s="3" t="s">
        <v>16</v>
      </c>
      <c r="H2" s="3" t="s">
        <v>17</v>
      </c>
      <c r="I2" s="3" t="s">
        <v>18</v>
      </c>
      <c r="J2" s="3">
        <v>1560</v>
      </c>
      <c r="K2" s="3">
        <v>18720</v>
      </c>
      <c r="L2" s="3">
        <v>3</v>
      </c>
      <c r="M2" s="3">
        <v>1</v>
      </c>
      <c r="N2" s="3">
        <v>0</v>
      </c>
      <c r="O2" s="3">
        <v>183</v>
      </c>
    </row>
    <row r="3" spans="1:15" x14ac:dyDescent="0.3">
      <c r="A3">
        <v>281</v>
      </c>
      <c r="B3" s="3" t="s">
        <v>19</v>
      </c>
      <c r="C3" s="3" t="s">
        <v>20</v>
      </c>
      <c r="D3" s="3" t="s">
        <v>31</v>
      </c>
      <c r="E3" s="4">
        <v>43972</v>
      </c>
      <c r="F3" s="5">
        <f ca="1">DATEDIF(EmpTable[[#This Row],[Start Date]],TODAY(),"Y")</f>
        <v>5</v>
      </c>
      <c r="G3" s="3" t="s">
        <v>16</v>
      </c>
      <c r="H3" s="3" t="s">
        <v>21</v>
      </c>
      <c r="I3" s="3" t="s">
        <v>18</v>
      </c>
      <c r="J3" s="3">
        <v>3247</v>
      </c>
      <c r="K3" s="3">
        <v>38964</v>
      </c>
      <c r="L3" s="3">
        <v>1</v>
      </c>
      <c r="M3" s="3">
        <v>0</v>
      </c>
      <c r="N3" s="3">
        <v>5</v>
      </c>
      <c r="O3" s="3">
        <v>198</v>
      </c>
    </row>
    <row r="4" spans="1:15" x14ac:dyDescent="0.3">
      <c r="A4">
        <v>282</v>
      </c>
      <c r="B4" s="3" t="s">
        <v>22</v>
      </c>
      <c r="C4" s="3" t="s">
        <v>23</v>
      </c>
      <c r="D4" s="3" t="s">
        <v>306</v>
      </c>
      <c r="E4" s="4">
        <v>43006</v>
      </c>
      <c r="F4" s="5">
        <f ca="1">DATEDIF(EmpTable[[#This Row],[Start Date]],TODAY(),"Y")</f>
        <v>8</v>
      </c>
      <c r="G4" s="3" t="s">
        <v>24</v>
      </c>
      <c r="H4" s="3" t="s">
        <v>21</v>
      </c>
      <c r="I4" s="3" t="s">
        <v>18</v>
      </c>
      <c r="J4" s="3">
        <v>2506</v>
      </c>
      <c r="K4" s="3">
        <v>30072</v>
      </c>
      <c r="L4" s="3">
        <v>2</v>
      </c>
      <c r="M4" s="3">
        <v>0</v>
      </c>
      <c r="N4" s="3">
        <v>3</v>
      </c>
      <c r="O4" s="3">
        <v>192</v>
      </c>
    </row>
    <row r="5" spans="1:15" x14ac:dyDescent="0.3">
      <c r="A5">
        <v>283</v>
      </c>
      <c r="B5" s="3" t="s">
        <v>25</v>
      </c>
      <c r="C5" s="3" t="s">
        <v>26</v>
      </c>
      <c r="D5" s="3" t="s">
        <v>31</v>
      </c>
      <c r="E5" s="4">
        <v>43326</v>
      </c>
      <c r="F5" s="5">
        <f ca="1">DATEDIF(EmpTable[[#This Row],[Start Date]],TODAY(),"Y")</f>
        <v>7</v>
      </c>
      <c r="G5" s="3" t="s">
        <v>27</v>
      </c>
      <c r="H5" s="3" t="s">
        <v>28</v>
      </c>
      <c r="I5" s="3" t="s">
        <v>41</v>
      </c>
      <c r="J5" s="3">
        <v>1828</v>
      </c>
      <c r="K5" s="3">
        <v>21936</v>
      </c>
      <c r="L5" s="3">
        <v>3</v>
      </c>
      <c r="M5" s="3">
        <v>0</v>
      </c>
      <c r="N5" s="3">
        <v>0</v>
      </c>
      <c r="O5" s="3">
        <v>7</v>
      </c>
    </row>
    <row r="6" spans="1:15" x14ac:dyDescent="0.3">
      <c r="A6">
        <v>284</v>
      </c>
      <c r="B6" s="3" t="s">
        <v>29</v>
      </c>
      <c r="C6" s="3" t="s">
        <v>30</v>
      </c>
      <c r="D6" s="3" t="s">
        <v>31</v>
      </c>
      <c r="E6" s="4">
        <v>43901</v>
      </c>
      <c r="F6" s="5">
        <f ca="1">DATEDIF(EmpTable[[#This Row],[Start Date]],TODAY(),"Y")</f>
        <v>5</v>
      </c>
      <c r="G6" s="3" t="s">
        <v>27</v>
      </c>
      <c r="H6" s="3" t="s">
        <v>17</v>
      </c>
      <c r="I6" s="3" t="s">
        <v>41</v>
      </c>
      <c r="J6" s="3">
        <v>970</v>
      </c>
      <c r="K6" s="3">
        <v>11640</v>
      </c>
      <c r="L6" s="3">
        <v>5</v>
      </c>
      <c r="M6" s="3">
        <v>0</v>
      </c>
      <c r="N6" s="3">
        <v>5</v>
      </c>
      <c r="O6" s="3">
        <v>121</v>
      </c>
    </row>
    <row r="7" spans="1:15" x14ac:dyDescent="0.3">
      <c r="A7">
        <v>285</v>
      </c>
      <c r="B7" s="3" t="s">
        <v>32</v>
      </c>
      <c r="C7" s="3" t="s">
        <v>33</v>
      </c>
      <c r="D7" s="3" t="s">
        <v>31</v>
      </c>
      <c r="E7" s="4">
        <v>42402</v>
      </c>
      <c r="F7" s="5">
        <f ca="1">DATEDIF(EmpTable[[#This Row],[Start Date]],TODAY(),"Y")</f>
        <v>10</v>
      </c>
      <c r="G7" s="3" t="s">
        <v>34</v>
      </c>
      <c r="H7" s="3" t="s">
        <v>21</v>
      </c>
      <c r="I7" s="3" t="s">
        <v>35</v>
      </c>
      <c r="J7" s="3">
        <v>2332</v>
      </c>
      <c r="K7" s="3">
        <v>27984</v>
      </c>
      <c r="L7" s="3">
        <v>3</v>
      </c>
      <c r="M7" s="3">
        <v>3</v>
      </c>
      <c r="N7" s="3">
        <v>0</v>
      </c>
      <c r="O7" s="3">
        <v>8</v>
      </c>
    </row>
    <row r="8" spans="1:15" x14ac:dyDescent="0.3">
      <c r="A8">
        <v>286</v>
      </c>
      <c r="B8" s="3" t="s">
        <v>36</v>
      </c>
      <c r="C8" s="3" t="s">
        <v>37</v>
      </c>
      <c r="D8" s="3" t="s">
        <v>306</v>
      </c>
      <c r="E8" s="4">
        <v>43959</v>
      </c>
      <c r="F8" s="5">
        <f ca="1">DATEDIF(EmpTable[[#This Row],[Start Date]],TODAY(),"Y")</f>
        <v>5</v>
      </c>
      <c r="G8" s="3" t="s">
        <v>38</v>
      </c>
      <c r="H8" s="3" t="s">
        <v>28</v>
      </c>
      <c r="I8" s="3" t="s">
        <v>41</v>
      </c>
      <c r="J8" s="3">
        <v>1959</v>
      </c>
      <c r="K8" s="3">
        <v>23508</v>
      </c>
      <c r="L8" s="3">
        <v>3</v>
      </c>
      <c r="M8" s="3">
        <v>6</v>
      </c>
      <c r="N8" s="3">
        <v>0</v>
      </c>
      <c r="O8" s="3">
        <v>116</v>
      </c>
    </row>
    <row r="9" spans="1:15" x14ac:dyDescent="0.3">
      <c r="A9">
        <v>287</v>
      </c>
      <c r="B9" s="3" t="s">
        <v>32</v>
      </c>
      <c r="C9" s="3" t="s">
        <v>39</v>
      </c>
      <c r="D9" s="3" t="s">
        <v>31</v>
      </c>
      <c r="E9" s="4">
        <v>43141</v>
      </c>
      <c r="F9" s="5">
        <f ca="1">DATEDIF(EmpTable[[#This Row],[Start Date]],TODAY(),"Y")</f>
        <v>8</v>
      </c>
      <c r="G9" s="3" t="s">
        <v>40</v>
      </c>
      <c r="H9" s="3" t="s">
        <v>17</v>
      </c>
      <c r="I9" s="3" t="s">
        <v>41</v>
      </c>
      <c r="J9" s="3">
        <v>3394</v>
      </c>
      <c r="K9" s="3">
        <v>40728</v>
      </c>
      <c r="L9" s="3">
        <v>5</v>
      </c>
      <c r="M9" s="3">
        <v>0</v>
      </c>
      <c r="N9" s="3">
        <v>0</v>
      </c>
      <c r="O9" s="3">
        <v>7</v>
      </c>
    </row>
    <row r="10" spans="1:15" x14ac:dyDescent="0.3">
      <c r="A10">
        <v>288</v>
      </c>
      <c r="B10" s="3" t="s">
        <v>42</v>
      </c>
      <c r="C10" s="3" t="s">
        <v>43</v>
      </c>
      <c r="D10" s="3" t="s">
        <v>306</v>
      </c>
      <c r="E10" s="4">
        <v>43170</v>
      </c>
      <c r="F10" s="5">
        <f ca="1">DATEDIF(EmpTable[[#This Row],[Start Date]],TODAY(),"Y")</f>
        <v>7</v>
      </c>
      <c r="G10" s="3" t="s">
        <v>44</v>
      </c>
      <c r="H10" s="3" t="s">
        <v>17</v>
      </c>
      <c r="I10" s="3" t="s">
        <v>35</v>
      </c>
      <c r="J10" s="3">
        <v>1479</v>
      </c>
      <c r="K10" s="3">
        <v>17748</v>
      </c>
      <c r="L10" s="3">
        <v>4.5</v>
      </c>
      <c r="M10" s="3">
        <v>0</v>
      </c>
      <c r="N10" s="3">
        <v>0</v>
      </c>
      <c r="O10" s="3">
        <v>105</v>
      </c>
    </row>
    <row r="11" spans="1:15" x14ac:dyDescent="0.3">
      <c r="A11">
        <v>289</v>
      </c>
      <c r="B11" s="3" t="s">
        <v>32</v>
      </c>
      <c r="C11" s="3" t="s">
        <v>45</v>
      </c>
      <c r="D11" s="3" t="s">
        <v>31</v>
      </c>
      <c r="E11" s="4">
        <v>43833</v>
      </c>
      <c r="F11" s="5">
        <f ca="1">DATEDIF(EmpTable[[#This Row],[Start Date]],TODAY(),"Y")</f>
        <v>6</v>
      </c>
      <c r="G11" s="3" t="s">
        <v>40</v>
      </c>
      <c r="H11" s="3" t="s">
        <v>17</v>
      </c>
      <c r="I11" s="3" t="s">
        <v>41</v>
      </c>
      <c r="J11" s="3">
        <v>1186</v>
      </c>
      <c r="K11" s="3">
        <v>14232</v>
      </c>
      <c r="L11" s="3">
        <v>4.5</v>
      </c>
      <c r="M11" s="3">
        <v>1</v>
      </c>
      <c r="N11" s="3">
        <v>0</v>
      </c>
      <c r="O11" s="3">
        <v>153</v>
      </c>
    </row>
    <row r="12" spans="1:15" x14ac:dyDescent="0.3">
      <c r="A12">
        <v>290</v>
      </c>
      <c r="B12" s="3" t="s">
        <v>32</v>
      </c>
      <c r="C12" s="3" t="s">
        <v>46</v>
      </c>
      <c r="D12" s="3" t="s">
        <v>31</v>
      </c>
      <c r="E12" s="4">
        <v>43116</v>
      </c>
      <c r="F12" s="5">
        <f ca="1">DATEDIF(EmpTable[[#This Row],[Start Date]],TODAY(),"Y")</f>
        <v>8</v>
      </c>
      <c r="G12" s="3" t="s">
        <v>27</v>
      </c>
      <c r="H12" s="3" t="s">
        <v>47</v>
      </c>
      <c r="I12" s="3" t="s">
        <v>41</v>
      </c>
      <c r="J12" s="3">
        <v>1485</v>
      </c>
      <c r="K12" s="3">
        <v>17820</v>
      </c>
      <c r="L12" s="3">
        <v>2</v>
      </c>
      <c r="M12" s="3">
        <v>5</v>
      </c>
      <c r="N12" s="3">
        <v>0</v>
      </c>
      <c r="O12" s="3">
        <v>12</v>
      </c>
    </row>
    <row r="13" spans="1:15" x14ac:dyDescent="0.3">
      <c r="A13">
        <v>291</v>
      </c>
      <c r="B13" s="3" t="s">
        <v>32</v>
      </c>
      <c r="C13" s="3" t="s">
        <v>48</v>
      </c>
      <c r="D13" s="3" t="s">
        <v>31</v>
      </c>
      <c r="E13" s="4">
        <v>43300</v>
      </c>
      <c r="F13" s="5">
        <f ca="1">DATEDIF(EmpTable[[#This Row],[Start Date]],TODAY(),"Y")</f>
        <v>7</v>
      </c>
      <c r="G13" s="3" t="s">
        <v>49</v>
      </c>
      <c r="H13" s="3" t="s">
        <v>17</v>
      </c>
      <c r="I13" s="3" t="s">
        <v>41</v>
      </c>
      <c r="J13" s="3">
        <v>2016</v>
      </c>
      <c r="K13" s="3">
        <v>24192</v>
      </c>
      <c r="L13" s="3">
        <v>1</v>
      </c>
      <c r="M13" s="3">
        <v>2</v>
      </c>
      <c r="N13" s="3">
        <v>0</v>
      </c>
      <c r="O13" s="3">
        <v>70</v>
      </c>
    </row>
    <row r="14" spans="1:15" x14ac:dyDescent="0.3">
      <c r="A14">
        <v>292</v>
      </c>
      <c r="B14" s="3" t="s">
        <v>50</v>
      </c>
      <c r="C14" s="3" t="s">
        <v>51</v>
      </c>
      <c r="D14" s="3" t="s">
        <v>306</v>
      </c>
      <c r="E14" s="4">
        <v>43415</v>
      </c>
      <c r="F14" s="5">
        <f ca="1">DATEDIF(EmpTable[[#This Row],[Start Date]],TODAY(),"Y")</f>
        <v>7</v>
      </c>
      <c r="G14" s="3" t="s">
        <v>52</v>
      </c>
      <c r="H14" s="3" t="s">
        <v>17</v>
      </c>
      <c r="I14" s="3" t="s">
        <v>41</v>
      </c>
      <c r="J14" s="3">
        <v>1999</v>
      </c>
      <c r="K14" s="3">
        <v>23988</v>
      </c>
      <c r="L14" s="3">
        <v>5</v>
      </c>
      <c r="M14" s="3">
        <v>6</v>
      </c>
      <c r="N14" s="3">
        <v>0</v>
      </c>
      <c r="O14" s="3">
        <v>85</v>
      </c>
    </row>
    <row r="15" spans="1:15" x14ac:dyDescent="0.3">
      <c r="A15">
        <v>293</v>
      </c>
      <c r="B15" s="3" t="s">
        <v>53</v>
      </c>
      <c r="C15" s="3" t="s">
        <v>54</v>
      </c>
      <c r="D15" s="3" t="s">
        <v>306</v>
      </c>
      <c r="E15" s="4">
        <v>42430</v>
      </c>
      <c r="F15" s="5">
        <f ca="1">DATEDIF(EmpTable[[#This Row],[Start Date]],TODAY(),"Y")</f>
        <v>9</v>
      </c>
      <c r="G15" s="3" t="s">
        <v>52</v>
      </c>
      <c r="H15" s="3" t="s">
        <v>28</v>
      </c>
      <c r="I15" s="3" t="s">
        <v>35</v>
      </c>
      <c r="J15" s="3">
        <v>3404</v>
      </c>
      <c r="K15" s="3">
        <v>40848</v>
      </c>
      <c r="L15" s="3">
        <v>5</v>
      </c>
      <c r="M15" s="3">
        <v>1</v>
      </c>
      <c r="N15" s="3">
        <v>0</v>
      </c>
      <c r="O15" s="3">
        <v>8</v>
      </c>
    </row>
    <row r="16" spans="1:15" x14ac:dyDescent="0.3">
      <c r="A16">
        <v>294</v>
      </c>
      <c r="B16" s="3" t="s">
        <v>55</v>
      </c>
      <c r="C16" s="3" t="s">
        <v>56</v>
      </c>
      <c r="D16" s="3" t="s">
        <v>306</v>
      </c>
      <c r="E16" s="4">
        <v>43438</v>
      </c>
      <c r="F16" s="5">
        <f ca="1">DATEDIF(EmpTable[[#This Row],[Start Date]],TODAY(),"Y")</f>
        <v>7</v>
      </c>
      <c r="G16" s="3" t="s">
        <v>57</v>
      </c>
      <c r="H16" s="3" t="s">
        <v>17</v>
      </c>
      <c r="I16" s="3" t="s">
        <v>41</v>
      </c>
      <c r="J16" s="3">
        <v>889</v>
      </c>
      <c r="K16" s="3">
        <v>10668</v>
      </c>
      <c r="L16" s="3">
        <v>3</v>
      </c>
      <c r="M16" s="3">
        <v>1</v>
      </c>
      <c r="N16" s="3">
        <v>1</v>
      </c>
      <c r="O16" s="3">
        <v>8</v>
      </c>
    </row>
    <row r="17" spans="1:15" x14ac:dyDescent="0.3">
      <c r="A17">
        <v>295</v>
      </c>
      <c r="B17" s="3" t="s">
        <v>58</v>
      </c>
      <c r="C17" s="3" t="s">
        <v>32</v>
      </c>
      <c r="D17" s="3" t="s">
        <v>31</v>
      </c>
      <c r="E17" s="4">
        <v>43745</v>
      </c>
      <c r="F17" s="5">
        <f ca="1">DATEDIF(EmpTable[[#This Row],[Start Date]],TODAY(),"Y")</f>
        <v>6</v>
      </c>
      <c r="G17" s="3" t="s">
        <v>38</v>
      </c>
      <c r="H17" s="3" t="s">
        <v>17</v>
      </c>
      <c r="I17" s="3" t="s">
        <v>59</v>
      </c>
      <c r="J17" s="3">
        <v>930</v>
      </c>
      <c r="K17" s="3">
        <v>11160</v>
      </c>
      <c r="L17" s="3">
        <v>3</v>
      </c>
      <c r="M17" s="3">
        <v>0</v>
      </c>
      <c r="N17" s="3">
        <v>0</v>
      </c>
      <c r="O17" s="3">
        <v>77</v>
      </c>
    </row>
    <row r="18" spans="1:15" x14ac:dyDescent="0.3">
      <c r="A18">
        <v>296</v>
      </c>
      <c r="B18" s="3" t="s">
        <v>60</v>
      </c>
      <c r="C18" s="3" t="s">
        <v>61</v>
      </c>
      <c r="D18" s="3" t="s">
        <v>306</v>
      </c>
      <c r="E18" s="4">
        <v>42517</v>
      </c>
      <c r="F18" s="5">
        <f ca="1">DATEDIF(EmpTable[[#This Row],[Start Date]],TODAY(),"Y")</f>
        <v>9</v>
      </c>
      <c r="G18" s="3" t="s">
        <v>40</v>
      </c>
      <c r="H18" s="3" t="s">
        <v>21</v>
      </c>
      <c r="I18" s="3" t="s">
        <v>18</v>
      </c>
      <c r="J18" s="3">
        <v>3149</v>
      </c>
      <c r="K18" s="3">
        <v>37788</v>
      </c>
      <c r="L18" s="3">
        <v>4.5</v>
      </c>
      <c r="M18" s="3">
        <v>0</v>
      </c>
      <c r="N18" s="3">
        <v>0</v>
      </c>
      <c r="O18" s="3">
        <v>93</v>
      </c>
    </row>
    <row r="19" spans="1:15" x14ac:dyDescent="0.3">
      <c r="A19">
        <v>297</v>
      </c>
      <c r="B19" s="3" t="s">
        <v>62</v>
      </c>
      <c r="C19" s="3" t="s">
        <v>63</v>
      </c>
      <c r="D19" s="3" t="s">
        <v>31</v>
      </c>
      <c r="E19" s="4">
        <v>43232</v>
      </c>
      <c r="F19" s="5">
        <f ca="1">DATEDIF(EmpTable[[#This Row],[Start Date]],TODAY(),"Y")</f>
        <v>7</v>
      </c>
      <c r="G19" s="3" t="s">
        <v>16</v>
      </c>
      <c r="H19" s="3" t="s">
        <v>28</v>
      </c>
      <c r="I19" s="3" t="s">
        <v>18</v>
      </c>
      <c r="J19" s="3">
        <v>1295</v>
      </c>
      <c r="K19" s="3">
        <v>15540</v>
      </c>
      <c r="L19" s="3">
        <v>3</v>
      </c>
      <c r="M19" s="3">
        <v>4</v>
      </c>
      <c r="N19" s="3">
        <v>0</v>
      </c>
      <c r="O19" s="3">
        <v>153</v>
      </c>
    </row>
    <row r="20" spans="1:15" x14ac:dyDescent="0.3">
      <c r="A20">
        <v>298</v>
      </c>
      <c r="B20" s="3" t="s">
        <v>64</v>
      </c>
      <c r="C20" s="3" t="s">
        <v>65</v>
      </c>
      <c r="D20" s="3" t="s">
        <v>306</v>
      </c>
      <c r="E20" s="4">
        <v>43214</v>
      </c>
      <c r="F20" s="5">
        <f ca="1">DATEDIF(EmpTable[[#This Row],[Start Date]],TODAY(),"Y")</f>
        <v>7</v>
      </c>
      <c r="G20" s="3" t="s">
        <v>16</v>
      </c>
      <c r="H20" s="3" t="s">
        <v>28</v>
      </c>
      <c r="I20" s="3" t="s">
        <v>59</v>
      </c>
      <c r="J20" s="3">
        <v>2162</v>
      </c>
      <c r="K20" s="3">
        <v>25944</v>
      </c>
      <c r="L20" s="3">
        <v>3</v>
      </c>
      <c r="M20" s="3">
        <v>0</v>
      </c>
      <c r="N20" s="3">
        <v>0</v>
      </c>
      <c r="O20" s="3">
        <v>8</v>
      </c>
    </row>
    <row r="24" spans="1:15" x14ac:dyDescent="0.3">
      <c r="B24" s="9" t="s">
        <v>925</v>
      </c>
      <c r="C24" s="8">
        <f>SUM(J2:J20)</f>
        <v>37790</v>
      </c>
      <c r="E24" s="9" t="s">
        <v>928</v>
      </c>
      <c r="F24" s="8">
        <f>MAX(J2:J20)</f>
        <v>3404</v>
      </c>
      <c r="H24" s="9" t="s">
        <v>929</v>
      </c>
      <c r="I24" s="8">
        <f>MIN(J2:J20)</f>
        <v>889</v>
      </c>
      <c r="K24" s="9" t="s">
        <v>930</v>
      </c>
      <c r="L24" s="43">
        <f>AVERAGE(J2:J20)</f>
        <v>1988.9473684210527</v>
      </c>
    </row>
    <row r="25" spans="1:15" x14ac:dyDescent="0.3">
      <c r="B25" s="9" t="s">
        <v>926</v>
      </c>
      <c r="C25" s="8">
        <f>SUM(K2:K20)</f>
        <v>453480</v>
      </c>
      <c r="E25" s="9" t="s">
        <v>928</v>
      </c>
      <c r="F25" s="8">
        <f>MAX(K2:K20)</f>
        <v>40848</v>
      </c>
      <c r="H25" s="9" t="s">
        <v>929</v>
      </c>
      <c r="I25" s="8">
        <f>MIN(K2:K20)</f>
        <v>10668</v>
      </c>
      <c r="K25" s="9" t="s">
        <v>930</v>
      </c>
      <c r="L25" s="43">
        <f>AVERAGE(K2:K20)</f>
        <v>23867.36842105263</v>
      </c>
    </row>
    <row r="28" spans="1:15" x14ac:dyDescent="0.3">
      <c r="B28" s="9" t="s">
        <v>927</v>
      </c>
      <c r="C28">
        <v>5491</v>
      </c>
    </row>
    <row r="29" spans="1:15" x14ac:dyDescent="0.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</row>
    <row r="31" spans="1:15" x14ac:dyDescent="0.3">
      <c r="B31" s="112" t="s">
        <v>934</v>
      </c>
      <c r="C31" s="112"/>
      <c r="E31" s="112" t="s">
        <v>935</v>
      </c>
      <c r="F31" s="112"/>
      <c r="G31" s="112"/>
      <c r="H31" s="112"/>
      <c r="J31" s="112" t="s">
        <v>939</v>
      </c>
      <c r="K31" s="112"/>
      <c r="M31" s="112" t="s">
        <v>944</v>
      </c>
      <c r="N31" s="112"/>
    </row>
    <row r="33" spans="2:16" ht="93.6" x14ac:dyDescent="0.3">
      <c r="B33" s="48" t="s">
        <v>931</v>
      </c>
      <c r="C33" s="96">
        <v>8264</v>
      </c>
      <c r="E33" s="48" t="s">
        <v>936</v>
      </c>
      <c r="G33" s="97">
        <v>1560</v>
      </c>
      <c r="J33" s="44" t="s">
        <v>940</v>
      </c>
      <c r="K33" s="96">
        <v>4</v>
      </c>
      <c r="M33" s="44" t="s">
        <v>945</v>
      </c>
      <c r="N33" s="96">
        <v>3</v>
      </c>
    </row>
    <row r="35" spans="2:16" ht="93.6" x14ac:dyDescent="0.3">
      <c r="B35" s="48" t="s">
        <v>932</v>
      </c>
      <c r="C35" s="96">
        <v>99168</v>
      </c>
      <c r="E35" s="48" t="s">
        <v>937</v>
      </c>
      <c r="G35" s="97">
        <v>18720</v>
      </c>
      <c r="J35" s="44" t="s">
        <v>941</v>
      </c>
      <c r="K35" s="96">
        <v>9</v>
      </c>
      <c r="M35" s="44" t="s">
        <v>946</v>
      </c>
      <c r="N35" s="96">
        <v>3</v>
      </c>
    </row>
    <row r="38" spans="2:16" ht="78" x14ac:dyDescent="0.3">
      <c r="B38" s="44" t="s">
        <v>933</v>
      </c>
      <c r="C38" s="96">
        <v>7729</v>
      </c>
      <c r="E38" s="44" t="s">
        <v>938</v>
      </c>
      <c r="G38" s="96">
        <v>3149</v>
      </c>
      <c r="J38" s="44" t="s">
        <v>942</v>
      </c>
      <c r="K38" s="96">
        <v>4</v>
      </c>
      <c r="M38" s="44" t="s">
        <v>947</v>
      </c>
      <c r="N38" s="96">
        <v>1</v>
      </c>
    </row>
    <row r="40" spans="2:16" ht="78" x14ac:dyDescent="0.3">
      <c r="B40" s="48" t="s">
        <v>999</v>
      </c>
      <c r="C40" s="96">
        <v>92748</v>
      </c>
      <c r="E40" s="44" t="s">
        <v>1000</v>
      </c>
      <c r="G40" s="96">
        <v>37788</v>
      </c>
      <c r="J40" s="44" t="s">
        <v>943</v>
      </c>
      <c r="K40" s="96">
        <v>3</v>
      </c>
    </row>
    <row r="43" spans="2:16" x14ac:dyDescent="0.3">
      <c r="B43" s="112" t="s">
        <v>953</v>
      </c>
      <c r="C43" s="112"/>
    </row>
    <row r="44" spans="2:16" x14ac:dyDescent="0.3">
      <c r="B44" s="117"/>
      <c r="C44" s="117"/>
      <c r="D44" s="117"/>
    </row>
    <row r="46" spans="2:16" x14ac:dyDescent="0.3">
      <c r="B46" s="47" t="s">
        <v>957</v>
      </c>
      <c r="C46" s="46"/>
    </row>
    <row r="48" spans="2:16" x14ac:dyDescent="0.3"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</row>
    <row r="50" spans="2:16" x14ac:dyDescent="0.3">
      <c r="B50" s="112" t="s">
        <v>960</v>
      </c>
      <c r="C50" s="112"/>
      <c r="F50" s="112" t="s">
        <v>963</v>
      </c>
      <c r="G50" s="112"/>
      <c r="H50" s="112"/>
      <c r="J50" s="112" t="s">
        <v>964</v>
      </c>
      <c r="K50" s="112"/>
      <c r="L50" s="112"/>
      <c r="N50" s="112" t="s">
        <v>965</v>
      </c>
      <c r="O50" s="112"/>
      <c r="P50" s="112"/>
    </row>
    <row r="52" spans="2:16" ht="47.4" thickBot="1" x14ac:dyDescent="0.35">
      <c r="B52" s="39" t="s">
        <v>19</v>
      </c>
      <c r="C52" s="45"/>
      <c r="F52" s="52" t="s">
        <v>4</v>
      </c>
      <c r="G52" s="53" t="s">
        <v>6</v>
      </c>
      <c r="H52" s="52" t="s">
        <v>962</v>
      </c>
      <c r="J52" s="52" t="s">
        <v>4</v>
      </c>
      <c r="K52" s="53" t="s">
        <v>6</v>
      </c>
      <c r="L52" s="52" t="s">
        <v>966</v>
      </c>
      <c r="N52" s="51" t="s">
        <v>5</v>
      </c>
      <c r="O52" s="58" t="s">
        <v>10</v>
      </c>
      <c r="P52" s="61" t="s">
        <v>967</v>
      </c>
    </row>
    <row r="53" spans="2:16" ht="16.2" thickTop="1" x14ac:dyDescent="0.3">
      <c r="F53" s="54">
        <f ca="1">DATEDIF(EmpTable[[#This Row],[Start Date]],TODAY(),"Y")</f>
        <v>6</v>
      </c>
      <c r="G53" s="55" t="s">
        <v>17</v>
      </c>
      <c r="H53" s="82"/>
      <c r="J53" s="54">
        <f ca="1">DATEDIF(EmpTable[[#This Row],[Start Date]],TODAY(),"Y")</f>
        <v>6</v>
      </c>
      <c r="K53" s="55" t="s">
        <v>17</v>
      </c>
      <c r="L53" s="82"/>
      <c r="N53" s="41" t="s">
        <v>16</v>
      </c>
      <c r="O53" s="59">
        <v>3</v>
      </c>
      <c r="P53" s="83"/>
    </row>
    <row r="54" spans="2:16" x14ac:dyDescent="0.3">
      <c r="B54" s="39">
        <v>10</v>
      </c>
      <c r="C54" s="45"/>
      <c r="F54" s="56">
        <f ca="1">DATEDIF(EmpTable[[#This Row],[Start Date]],TODAY(),"Y")</f>
        <v>5</v>
      </c>
      <c r="G54" s="57" t="s">
        <v>21</v>
      </c>
      <c r="H54" s="82"/>
      <c r="J54" s="56">
        <f ca="1">DATEDIF(EmpTable[[#This Row],[Start Date]],TODAY(),"Y")</f>
        <v>5</v>
      </c>
      <c r="K54" s="57" t="s">
        <v>21</v>
      </c>
      <c r="L54" s="82"/>
      <c r="N54" s="42" t="s">
        <v>16</v>
      </c>
      <c r="O54" s="60">
        <v>1</v>
      </c>
      <c r="P54" s="83"/>
    </row>
    <row r="55" spans="2:16" x14ac:dyDescent="0.3">
      <c r="F55" s="54">
        <f ca="1">DATEDIF(EmpTable[[#This Row],[Start Date]],TODAY(),"Y")</f>
        <v>7</v>
      </c>
      <c r="G55" s="55" t="s">
        <v>21</v>
      </c>
      <c r="H55" s="82"/>
      <c r="J55" s="54">
        <f ca="1">DATEDIF(EmpTable[[#This Row],[Start Date]],TODAY(),"Y")</f>
        <v>7</v>
      </c>
      <c r="K55" s="55" t="s">
        <v>21</v>
      </c>
      <c r="L55" s="82"/>
      <c r="N55" s="41" t="s">
        <v>24</v>
      </c>
      <c r="O55" s="59">
        <v>2</v>
      </c>
      <c r="P55" s="83"/>
    </row>
    <row r="56" spans="2:16" x14ac:dyDescent="0.3">
      <c r="D56" s="39">
        <v>5</v>
      </c>
      <c r="F56" s="56">
        <f ca="1">DATEDIF(EmpTable[[#This Row],[Start Date]],TODAY(),"Y")</f>
        <v>9</v>
      </c>
      <c r="G56" s="57" t="s">
        <v>28</v>
      </c>
      <c r="H56" s="82"/>
      <c r="J56" s="56">
        <f ca="1">DATEDIF(EmpTable[[#This Row],[Start Date]],TODAY(),"Y")</f>
        <v>9</v>
      </c>
      <c r="K56" s="57" t="s">
        <v>28</v>
      </c>
      <c r="L56" s="82"/>
      <c r="N56" s="42" t="s">
        <v>27</v>
      </c>
      <c r="O56" s="60">
        <v>3</v>
      </c>
      <c r="P56" s="83"/>
    </row>
    <row r="57" spans="2:16" x14ac:dyDescent="0.3">
      <c r="B57" s="118" t="b">
        <v>0</v>
      </c>
      <c r="C57" s="49">
        <v>1</v>
      </c>
      <c r="D57" s="50"/>
      <c r="F57" s="54">
        <f ca="1">DATEDIF(EmpTable[[#This Row],[Start Date]],TODAY(),"Y")</f>
        <v>7</v>
      </c>
      <c r="G57" s="55" t="s">
        <v>17</v>
      </c>
      <c r="H57" s="82"/>
      <c r="J57" s="54">
        <f ca="1">DATEDIF(EmpTable[[#This Row],[Start Date]],TODAY(),"Y")</f>
        <v>7</v>
      </c>
      <c r="K57" s="55" t="s">
        <v>17</v>
      </c>
      <c r="L57" s="82"/>
      <c r="N57" s="41" t="s">
        <v>27</v>
      </c>
      <c r="O57" s="59">
        <v>5</v>
      </c>
      <c r="P57" s="83"/>
    </row>
    <row r="58" spans="2:16" x14ac:dyDescent="0.3">
      <c r="B58" s="118"/>
      <c r="C58" s="49">
        <v>2</v>
      </c>
      <c r="D58" s="50"/>
      <c r="F58" s="56">
        <f ca="1">DATEDIF(EmpTable[[#This Row],[Start Date]],TODAY(),"Y")</f>
        <v>6</v>
      </c>
      <c r="G58" s="57" t="s">
        <v>21</v>
      </c>
      <c r="H58" s="82"/>
      <c r="J58" s="56">
        <f ca="1">DATEDIF(EmpTable[[#This Row],[Start Date]],TODAY(),"Y")</f>
        <v>6</v>
      </c>
      <c r="K58" s="57" t="s">
        <v>21</v>
      </c>
      <c r="L58" s="82"/>
      <c r="N58" s="42" t="s">
        <v>34</v>
      </c>
      <c r="O58" s="60">
        <v>3</v>
      </c>
      <c r="P58" s="83"/>
    </row>
    <row r="59" spans="2:16" x14ac:dyDescent="0.3">
      <c r="B59" s="118"/>
      <c r="C59" s="49">
        <v>3</v>
      </c>
      <c r="D59" s="50"/>
      <c r="F59" s="54">
        <f ca="1">DATEDIF(EmpTable[[#This Row],[Start Date]],TODAY(),"Y")</f>
        <v>6</v>
      </c>
      <c r="G59" s="55" t="s">
        <v>28</v>
      </c>
      <c r="H59" s="82"/>
      <c r="J59" s="54">
        <f ca="1">DATEDIF(EmpTable[[#This Row],[Start Date]],TODAY(),"Y")</f>
        <v>6</v>
      </c>
      <c r="K59" s="55" t="s">
        <v>28</v>
      </c>
      <c r="L59" s="82"/>
      <c r="N59" s="41" t="s">
        <v>38</v>
      </c>
      <c r="O59" s="59">
        <v>3</v>
      </c>
      <c r="P59" s="83"/>
    </row>
    <row r="60" spans="2:16" x14ac:dyDescent="0.3">
      <c r="B60" s="118"/>
      <c r="C60" s="49">
        <v>4</v>
      </c>
      <c r="D60" s="50"/>
      <c r="F60" s="56">
        <f ca="1">DATEDIF(EmpTable[[#This Row],[Start Date]],TODAY(),"Y")</f>
        <v>6</v>
      </c>
      <c r="G60" s="57" t="s">
        <v>17</v>
      </c>
      <c r="H60" s="82"/>
      <c r="J60" s="56">
        <f ca="1">DATEDIF(EmpTable[[#This Row],[Start Date]],TODAY(),"Y")</f>
        <v>6</v>
      </c>
      <c r="K60" s="57" t="s">
        <v>17</v>
      </c>
      <c r="L60" s="82"/>
      <c r="N60" s="42" t="s">
        <v>40</v>
      </c>
      <c r="O60" s="60">
        <v>5</v>
      </c>
      <c r="P60" s="83"/>
    </row>
    <row r="61" spans="2:16" x14ac:dyDescent="0.3">
      <c r="F61" s="54">
        <f ca="1">DATEDIF(EmpTable[[#This Row],[Start Date]],TODAY(),"Y")</f>
        <v>6</v>
      </c>
      <c r="G61" s="55" t="s">
        <v>17</v>
      </c>
      <c r="H61" s="82"/>
      <c r="J61" s="54">
        <f ca="1">DATEDIF(EmpTable[[#This Row],[Start Date]],TODAY(),"Y")</f>
        <v>6</v>
      </c>
      <c r="K61" s="55" t="s">
        <v>17</v>
      </c>
      <c r="L61" s="82"/>
      <c r="N61" s="41" t="s">
        <v>44</v>
      </c>
      <c r="O61" s="59">
        <v>4.5</v>
      </c>
      <c r="P61" s="83"/>
    </row>
    <row r="62" spans="2:16" x14ac:dyDescent="0.3">
      <c r="D62" s="39">
        <v>5</v>
      </c>
      <c r="F62" s="56">
        <f ca="1">DATEDIF(EmpTable[[#This Row],[Start Date]],TODAY(),"Y")</f>
        <v>6</v>
      </c>
      <c r="G62" s="57" t="s">
        <v>17</v>
      </c>
      <c r="H62" s="82"/>
      <c r="J62" s="56">
        <f ca="1">DATEDIF(EmpTable[[#This Row],[Start Date]],TODAY(),"Y")</f>
        <v>6</v>
      </c>
      <c r="K62" s="57" t="s">
        <v>17</v>
      </c>
      <c r="L62" s="82"/>
      <c r="N62" s="42" t="s">
        <v>40</v>
      </c>
      <c r="O62" s="60">
        <v>4.5</v>
      </c>
      <c r="P62" s="83"/>
    </row>
    <row r="63" spans="2:16" x14ac:dyDescent="0.3">
      <c r="B63" s="116" t="b">
        <v>1</v>
      </c>
      <c r="C63" s="49">
        <v>1</v>
      </c>
      <c r="D63" s="50"/>
      <c r="F63" s="54">
        <f ca="1">DATEDIF(EmpTable[[#This Row],[Start Date]],TODAY(),"Y")</f>
        <v>7</v>
      </c>
      <c r="G63" s="55" t="s">
        <v>47</v>
      </c>
      <c r="H63" s="82"/>
      <c r="J63" s="54">
        <f ca="1">DATEDIF(EmpTable[[#This Row],[Start Date]],TODAY(),"Y")</f>
        <v>7</v>
      </c>
      <c r="K63" s="55" t="s">
        <v>47</v>
      </c>
      <c r="L63" s="82"/>
      <c r="N63" s="41" t="s">
        <v>27</v>
      </c>
      <c r="O63" s="59">
        <v>2</v>
      </c>
      <c r="P63" s="83"/>
    </row>
    <row r="64" spans="2:16" x14ac:dyDescent="0.3">
      <c r="B64" s="116"/>
      <c r="C64" s="49">
        <v>2</v>
      </c>
      <c r="D64" s="50"/>
      <c r="F64" s="56">
        <f ca="1">DATEDIF(EmpTable[[#This Row],[Start Date]],TODAY(),"Y")</f>
        <v>8</v>
      </c>
      <c r="G64" s="57" t="s">
        <v>17</v>
      </c>
      <c r="H64" s="82"/>
      <c r="J64" s="56">
        <f ca="1">DATEDIF(EmpTable[[#This Row],[Start Date]],TODAY(),"Y")</f>
        <v>8</v>
      </c>
      <c r="K64" s="57" t="s">
        <v>17</v>
      </c>
      <c r="L64" s="82"/>
      <c r="N64" s="42" t="s">
        <v>49</v>
      </c>
      <c r="O64" s="60">
        <v>1</v>
      </c>
      <c r="P64" s="83"/>
    </row>
    <row r="65" spans="1:17" x14ac:dyDescent="0.3">
      <c r="B65" s="116"/>
      <c r="C65" s="49">
        <v>3</v>
      </c>
      <c r="D65" s="50"/>
      <c r="F65" s="54">
        <f ca="1">DATEDIF(EmpTable[[#This Row],[Start Date]],TODAY(),"Y")</f>
        <v>10</v>
      </c>
      <c r="G65" s="55" t="s">
        <v>17</v>
      </c>
      <c r="H65" s="82"/>
      <c r="J65" s="54">
        <f ca="1">DATEDIF(EmpTable[[#This Row],[Start Date]],TODAY(),"Y")</f>
        <v>10</v>
      </c>
      <c r="K65" s="55" t="s">
        <v>17</v>
      </c>
      <c r="L65" s="82"/>
      <c r="N65" s="41" t="s">
        <v>52</v>
      </c>
      <c r="O65" s="59">
        <v>5</v>
      </c>
      <c r="P65" s="83"/>
    </row>
    <row r="66" spans="1:17" x14ac:dyDescent="0.3">
      <c r="B66" s="116"/>
      <c r="C66" s="49">
        <v>4</v>
      </c>
      <c r="D66" s="50"/>
      <c r="F66" s="56">
        <f ca="1">DATEDIF(EmpTable[[#This Row],[Start Date]],TODAY(),"Y")</f>
        <v>7</v>
      </c>
      <c r="G66" s="57" t="s">
        <v>28</v>
      </c>
      <c r="H66" s="82"/>
      <c r="J66" s="56">
        <f ca="1">DATEDIF(EmpTable[[#This Row],[Start Date]],TODAY(),"Y")</f>
        <v>7</v>
      </c>
      <c r="K66" s="57" t="s">
        <v>28</v>
      </c>
      <c r="L66" s="82"/>
      <c r="N66" s="42" t="s">
        <v>52</v>
      </c>
      <c r="O66" s="60">
        <v>5</v>
      </c>
      <c r="P66" s="83"/>
    </row>
    <row r="67" spans="1:17" x14ac:dyDescent="0.3">
      <c r="F67" s="54">
        <f ca="1">DATEDIF(EmpTable[[#This Row],[Start Date]],TODAY(),"Y")</f>
        <v>6</v>
      </c>
      <c r="G67" s="55" t="s">
        <v>17</v>
      </c>
      <c r="H67" s="82"/>
      <c r="J67" s="54">
        <f ca="1">DATEDIF(EmpTable[[#This Row],[Start Date]],TODAY(),"Y")</f>
        <v>6</v>
      </c>
      <c r="K67" s="55" t="s">
        <v>17</v>
      </c>
      <c r="L67" s="82"/>
      <c r="N67" s="41" t="s">
        <v>57</v>
      </c>
      <c r="O67" s="59">
        <v>3</v>
      </c>
      <c r="P67" s="83"/>
    </row>
    <row r="68" spans="1:17" x14ac:dyDescent="0.3">
      <c r="F68" s="56">
        <f ca="1">DATEDIF(EmpTable[[#This Row],[Start Date]],TODAY(),"Y")</f>
        <v>6</v>
      </c>
      <c r="G68" s="57" t="s">
        <v>17</v>
      </c>
      <c r="H68" s="82"/>
      <c r="J68" s="56">
        <f ca="1">DATEDIF(EmpTable[[#This Row],[Start Date]],TODAY(),"Y")</f>
        <v>6</v>
      </c>
      <c r="K68" s="57" t="s">
        <v>17</v>
      </c>
      <c r="L68" s="82"/>
      <c r="N68" s="42" t="s">
        <v>38</v>
      </c>
      <c r="O68" s="60">
        <v>3</v>
      </c>
      <c r="P68" s="83"/>
    </row>
    <row r="69" spans="1:17" x14ac:dyDescent="0.3">
      <c r="F69" s="54">
        <f ca="1">DATEDIF(EmpTable[[#This Row],[Start Date]],TODAY(),"Y")</f>
        <v>5</v>
      </c>
      <c r="G69" s="55" t="s">
        <v>21</v>
      </c>
      <c r="H69" s="82"/>
      <c r="J69" s="54">
        <f ca="1">DATEDIF(EmpTable[[#This Row],[Start Date]],TODAY(),"Y")</f>
        <v>5</v>
      </c>
      <c r="K69" s="55" t="s">
        <v>21</v>
      </c>
      <c r="L69" s="82"/>
      <c r="N69" s="41" t="s">
        <v>40</v>
      </c>
      <c r="O69" s="59">
        <v>4.5</v>
      </c>
      <c r="P69" s="83"/>
    </row>
    <row r="70" spans="1:17" x14ac:dyDescent="0.3">
      <c r="F70" s="56">
        <f ca="1">DATEDIF(EmpTable[[#This Row],[Start Date]],TODAY(),"Y")</f>
        <v>7</v>
      </c>
      <c r="G70" s="57" t="s">
        <v>28</v>
      </c>
      <c r="H70" s="82"/>
      <c r="J70" s="56">
        <f ca="1">DATEDIF(EmpTable[[#This Row],[Start Date]],TODAY(),"Y")</f>
        <v>7</v>
      </c>
      <c r="K70" s="57" t="s">
        <v>28</v>
      </c>
      <c r="L70" s="82"/>
      <c r="N70" s="42" t="s">
        <v>16</v>
      </c>
      <c r="O70" s="60">
        <v>3</v>
      </c>
      <c r="P70" s="83"/>
    </row>
    <row r="71" spans="1:17" x14ac:dyDescent="0.3">
      <c r="F71" s="54">
        <f ca="1">DATEDIF(EmpTable[[#This Row],[Start Date]],TODAY(),"Y")</f>
        <v>6</v>
      </c>
      <c r="G71" s="55" t="s">
        <v>28</v>
      </c>
      <c r="H71" s="82"/>
      <c r="J71" s="54">
        <f ca="1">DATEDIF(EmpTable[[#This Row],[Start Date]],TODAY(),"Y")</f>
        <v>6</v>
      </c>
      <c r="K71" s="55" t="s">
        <v>28</v>
      </c>
      <c r="L71" s="82"/>
      <c r="N71" s="41" t="s">
        <v>16</v>
      </c>
      <c r="O71" s="59">
        <v>3</v>
      </c>
      <c r="P71" s="83"/>
    </row>
    <row r="73" spans="1:17" x14ac:dyDescent="0.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</row>
    <row r="74" spans="1:17" x14ac:dyDescent="0.3">
      <c r="A74" s="115" t="s">
        <v>969</v>
      </c>
      <c r="B74" s="115"/>
    </row>
    <row r="75" spans="1:17" x14ac:dyDescent="0.3">
      <c r="A75" s="115"/>
      <c r="B75" s="115"/>
    </row>
    <row r="76" spans="1:17" ht="16.2" thickBot="1" x14ac:dyDescent="0.35">
      <c r="D76" s="62" t="s">
        <v>898</v>
      </c>
      <c r="E76" s="58" t="s">
        <v>8</v>
      </c>
      <c r="J76" s="113" t="s">
        <v>968</v>
      </c>
      <c r="K76" s="113"/>
      <c r="L76" s="113"/>
      <c r="M76" s="113"/>
    </row>
    <row r="77" spans="1:17" ht="16.2" thickTop="1" x14ac:dyDescent="0.3">
      <c r="D77" s="63">
        <v>280</v>
      </c>
      <c r="E77" s="59">
        <v>1560</v>
      </c>
      <c r="F77" s="83" t="str">
        <f>IF(2000&gt;$E$771000,"High","Low")</f>
        <v>High</v>
      </c>
      <c r="J77" s="113"/>
      <c r="K77" s="113"/>
      <c r="L77" s="113"/>
      <c r="M77" s="113"/>
    </row>
    <row r="78" spans="1:17" x14ac:dyDescent="0.3">
      <c r="D78" s="64">
        <v>281</v>
      </c>
      <c r="E78" s="60">
        <v>3247</v>
      </c>
      <c r="F78" s="83" t="str">
        <f>IF(2000&gt;1000,"High","Low")</f>
        <v>High</v>
      </c>
      <c r="J78" s="113"/>
      <c r="K78" s="113"/>
      <c r="L78" s="113"/>
      <c r="M78" s="113"/>
    </row>
    <row r="79" spans="1:17" x14ac:dyDescent="0.3">
      <c r="D79" s="63">
        <v>282</v>
      </c>
      <c r="E79" s="59">
        <v>2506</v>
      </c>
      <c r="F79" s="83" t="str">
        <f>IF(2000&gt;1000,"High","Low")</f>
        <v>High</v>
      </c>
      <c r="J79" s="113"/>
      <c r="K79" s="113"/>
      <c r="L79" s="113"/>
      <c r="M79" s="113"/>
    </row>
    <row r="80" spans="1:17" x14ac:dyDescent="0.3">
      <c r="D80" s="64">
        <v>283</v>
      </c>
      <c r="E80" s="60">
        <v>1828</v>
      </c>
      <c r="F80" s="83" t="str">
        <f>IF(2000&gt;1000,"High","Low")</f>
        <v>High</v>
      </c>
      <c r="J80" s="113"/>
      <c r="K80" s="113"/>
      <c r="L80" s="113"/>
      <c r="M80" s="113"/>
    </row>
    <row r="81" spans="1:17" x14ac:dyDescent="0.3">
      <c r="D81" s="63">
        <v>284</v>
      </c>
      <c r="E81" s="59">
        <v>970</v>
      </c>
      <c r="F81" s="83" t="str">
        <f>IF(2000&lt;$E$81,"High","Low")</f>
        <v>Low</v>
      </c>
      <c r="J81" s="113"/>
      <c r="K81" s="113"/>
      <c r="L81" s="113"/>
      <c r="M81" s="113"/>
    </row>
    <row r="82" spans="1:17" x14ac:dyDescent="0.3">
      <c r="D82" s="64">
        <v>285</v>
      </c>
      <c r="E82" s="60">
        <v>2332</v>
      </c>
      <c r="F82" s="83" t="str">
        <f>IF(2000&gt;$E$771000,"High","Low")</f>
        <v>High</v>
      </c>
      <c r="J82" s="113"/>
      <c r="K82" s="113"/>
      <c r="L82" s="113"/>
      <c r="M82" s="113"/>
    </row>
    <row r="83" spans="1:17" x14ac:dyDescent="0.3">
      <c r="D83" s="63">
        <v>286</v>
      </c>
      <c r="E83" s="59">
        <v>1959</v>
      </c>
      <c r="F83" s="83" t="str">
        <f>IF(2000&gt;1000,"High","Low")</f>
        <v>High</v>
      </c>
    </row>
    <row r="84" spans="1:17" x14ac:dyDescent="0.3">
      <c r="D84" s="64">
        <v>287</v>
      </c>
      <c r="E84" s="60">
        <v>3394</v>
      </c>
      <c r="F84" s="83" t="str">
        <f>IF(2000&gt;1000,"High","Low")</f>
        <v>High</v>
      </c>
    </row>
    <row r="85" spans="1:17" x14ac:dyDescent="0.3">
      <c r="D85" s="63">
        <v>288</v>
      </c>
      <c r="E85" s="59">
        <v>1479</v>
      </c>
      <c r="F85" s="83" t="str">
        <f>IF(2000&gt;1000,"High","Low")</f>
        <v>High</v>
      </c>
    </row>
    <row r="86" spans="1:17" x14ac:dyDescent="0.3">
      <c r="D86" s="64">
        <v>289</v>
      </c>
      <c r="E86" s="60">
        <v>1186</v>
      </c>
      <c r="F86" s="83" t="s">
        <v>1002</v>
      </c>
    </row>
    <row r="87" spans="1:17" x14ac:dyDescent="0.3">
      <c r="D87" s="63">
        <v>290</v>
      </c>
      <c r="E87" s="59">
        <v>1485</v>
      </c>
      <c r="F87" s="83" t="str">
        <f>IF(2000&gt;$E$771000,"High","Low")</f>
        <v>High</v>
      </c>
    </row>
    <row r="88" spans="1:17" x14ac:dyDescent="0.3">
      <c r="D88" s="64">
        <v>291</v>
      </c>
      <c r="E88" s="60">
        <v>2016</v>
      </c>
      <c r="F88" s="83" t="str">
        <f>IF(2000&gt;1000,"High","Low")</f>
        <v>High</v>
      </c>
    </row>
    <row r="89" spans="1:17" x14ac:dyDescent="0.3">
      <c r="D89" s="63">
        <v>292</v>
      </c>
      <c r="E89" s="59">
        <v>1999</v>
      </c>
      <c r="F89" s="83" t="str">
        <f>IF(2000&gt;1000,"High","Low")</f>
        <v>High</v>
      </c>
    </row>
    <row r="90" spans="1:17" x14ac:dyDescent="0.3">
      <c r="D90" s="64">
        <v>293</v>
      </c>
      <c r="E90" s="60">
        <v>3404</v>
      </c>
      <c r="F90" s="83" t="str">
        <f>IF(2000&gt;1000,"High","Low")</f>
        <v>High</v>
      </c>
    </row>
    <row r="91" spans="1:17" x14ac:dyDescent="0.3">
      <c r="D91" s="63">
        <v>294</v>
      </c>
      <c r="E91" s="59">
        <v>889</v>
      </c>
      <c r="F91" s="83" t="str">
        <f>IF(2000&lt;$E$81,"High","Low")</f>
        <v>Low</v>
      </c>
    </row>
    <row r="92" spans="1:17" x14ac:dyDescent="0.3">
      <c r="D92" s="64">
        <v>295</v>
      </c>
      <c r="E92" s="60">
        <v>930</v>
      </c>
      <c r="F92" s="83" t="s">
        <v>1001</v>
      </c>
    </row>
    <row r="93" spans="1:17" x14ac:dyDescent="0.3">
      <c r="D93" s="63">
        <v>296</v>
      </c>
      <c r="E93" s="59">
        <v>3149</v>
      </c>
      <c r="F93" s="83" t="str">
        <f>IF(2000&gt;1000,"High","Low")</f>
        <v>High</v>
      </c>
    </row>
    <row r="94" spans="1:17" x14ac:dyDescent="0.3">
      <c r="D94" s="64">
        <v>297</v>
      </c>
      <c r="E94" s="60">
        <v>1295</v>
      </c>
      <c r="F94" s="83" t="str">
        <f>IF(2000&gt;1000,"High","Low")</f>
        <v>High</v>
      </c>
    </row>
    <row r="95" spans="1:17" x14ac:dyDescent="0.3">
      <c r="D95" s="63">
        <v>298</v>
      </c>
      <c r="E95" s="59">
        <v>2162</v>
      </c>
      <c r="F95" s="83" t="str">
        <f>IF(2000&gt;1000,"High","Low")</f>
        <v>High</v>
      </c>
    </row>
    <row r="96" spans="1:17" x14ac:dyDescent="0.3">
      <c r="A96" s="114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</row>
    <row r="98" spans="1:14" ht="15.75" customHeight="1" x14ac:dyDescent="0.3">
      <c r="B98" s="112" t="s">
        <v>971</v>
      </c>
      <c r="C98" s="112"/>
    </row>
    <row r="99" spans="1:14" ht="15.75" customHeight="1" x14ac:dyDescent="0.3">
      <c r="B99" s="112"/>
      <c r="C99" s="112"/>
    </row>
    <row r="101" spans="1:14" ht="16.2" thickBot="1" x14ac:dyDescent="0.35">
      <c r="B101" s="51" t="s">
        <v>0</v>
      </c>
      <c r="C101" s="51" t="s">
        <v>2</v>
      </c>
      <c r="D101" s="51" t="s">
        <v>5</v>
      </c>
      <c r="F101" s="51" t="s">
        <v>0</v>
      </c>
      <c r="G101" s="51" t="s">
        <v>1</v>
      </c>
      <c r="H101" s="51" t="s">
        <v>2</v>
      </c>
      <c r="I101" s="72" t="s">
        <v>3</v>
      </c>
      <c r="J101" s="72" t="s">
        <v>4</v>
      </c>
      <c r="K101" s="51" t="s">
        <v>5</v>
      </c>
      <c r="L101" s="51" t="s">
        <v>6</v>
      </c>
    </row>
    <row r="102" spans="1:14" ht="16.2" thickTop="1" x14ac:dyDescent="0.3">
      <c r="B102" s="41" t="s">
        <v>14</v>
      </c>
      <c r="C102" s="41" t="s">
        <v>31</v>
      </c>
      <c r="D102" s="71"/>
      <c r="F102" s="41" t="s">
        <v>14</v>
      </c>
      <c r="G102" s="41" t="s">
        <v>15</v>
      </c>
      <c r="H102" s="41" t="s">
        <v>31</v>
      </c>
      <c r="I102" s="65">
        <v>43194</v>
      </c>
      <c r="J102" s="66">
        <f ca="1">DATEDIF(EmpTable[[#This Row],[Start Date]],TODAY(),"Y")</f>
        <v>6</v>
      </c>
      <c r="K102" s="41" t="s">
        <v>16</v>
      </c>
      <c r="L102" s="71"/>
    </row>
    <row r="103" spans="1:14" x14ac:dyDescent="0.3">
      <c r="B103" s="42" t="s">
        <v>19</v>
      </c>
      <c r="C103" s="42" t="s">
        <v>31</v>
      </c>
      <c r="D103" s="71"/>
      <c r="F103" s="42" t="s">
        <v>19</v>
      </c>
      <c r="G103" s="42" t="s">
        <v>20</v>
      </c>
      <c r="H103" s="42" t="s">
        <v>31</v>
      </c>
      <c r="I103" s="67">
        <v>43972</v>
      </c>
      <c r="J103" s="68">
        <f ca="1">DATEDIF(EmpTable[[#This Row],[Start Date]],TODAY(),"Y")</f>
        <v>6</v>
      </c>
      <c r="K103" s="42" t="s">
        <v>16</v>
      </c>
      <c r="L103" s="71"/>
    </row>
    <row r="104" spans="1:14" x14ac:dyDescent="0.3">
      <c r="B104" s="41" t="s">
        <v>22</v>
      </c>
      <c r="C104" s="41" t="s">
        <v>306</v>
      </c>
      <c r="D104" s="71"/>
      <c r="F104" s="41" t="s">
        <v>22</v>
      </c>
      <c r="G104" s="41" t="s">
        <v>23</v>
      </c>
      <c r="H104" s="41" t="s">
        <v>306</v>
      </c>
      <c r="I104" s="65">
        <v>43006</v>
      </c>
      <c r="J104" s="66">
        <f ca="1">DATEDIF(EmpTable[[#This Row],[Start Date]],TODAY(),"Y")</f>
        <v>6</v>
      </c>
      <c r="K104" s="41" t="s">
        <v>24</v>
      </c>
      <c r="L104" s="71"/>
    </row>
    <row r="105" spans="1:14" x14ac:dyDescent="0.3">
      <c r="B105" s="42" t="s">
        <v>25</v>
      </c>
      <c r="C105" s="42" t="s">
        <v>31</v>
      </c>
      <c r="D105" s="71"/>
      <c r="F105" s="42" t="s">
        <v>25</v>
      </c>
      <c r="G105" s="42" t="s">
        <v>26</v>
      </c>
      <c r="H105" s="42" t="s">
        <v>31</v>
      </c>
      <c r="I105" s="67">
        <v>43326</v>
      </c>
      <c r="J105" s="68">
        <f ca="1">DATEDIF(EmpTable[[#This Row],[Start Date]],TODAY(),"Y")</f>
        <v>6</v>
      </c>
      <c r="K105" s="42" t="s">
        <v>27</v>
      </c>
      <c r="L105" s="71"/>
    </row>
    <row r="106" spans="1:14" x14ac:dyDescent="0.3">
      <c r="B106" s="41" t="s">
        <v>29</v>
      </c>
      <c r="C106" s="41" t="s">
        <v>31</v>
      </c>
      <c r="D106" s="71"/>
    </row>
    <row r="111" spans="1:14" x14ac:dyDescent="0.3">
      <c r="A111" s="53" t="s">
        <v>898</v>
      </c>
      <c r="B111" s="53" t="s">
        <v>0</v>
      </c>
      <c r="C111" s="53" t="s">
        <v>1</v>
      </c>
      <c r="D111" s="53" t="s">
        <v>2</v>
      </c>
      <c r="E111" s="52" t="s">
        <v>3</v>
      </c>
      <c r="F111" s="52" t="s">
        <v>4</v>
      </c>
      <c r="G111" s="53" t="s">
        <v>5</v>
      </c>
      <c r="H111" s="53" t="s">
        <v>6</v>
      </c>
      <c r="I111" s="53" t="s">
        <v>7</v>
      </c>
      <c r="J111" s="53" t="s">
        <v>8</v>
      </c>
      <c r="M111" s="53" t="s">
        <v>8</v>
      </c>
      <c r="N111" s="53" t="s">
        <v>972</v>
      </c>
    </row>
    <row r="112" spans="1:14" x14ac:dyDescent="0.3">
      <c r="A112" s="17">
        <v>325</v>
      </c>
      <c r="B112" s="17" t="s">
        <v>508</v>
      </c>
      <c r="C112" s="17" t="s">
        <v>197</v>
      </c>
      <c r="D112" s="17" t="s">
        <v>31</v>
      </c>
      <c r="E112" s="75">
        <v>43136</v>
      </c>
      <c r="F112" s="70">
        <f ca="1">DATEDIF(EmpTable[[#This Row],[Start Date]],TODAY(),"Y")</f>
        <v>9</v>
      </c>
      <c r="G112" s="17" t="s">
        <v>40</v>
      </c>
      <c r="H112" s="17" t="s">
        <v>17</v>
      </c>
      <c r="I112" s="17" t="s">
        <v>35</v>
      </c>
      <c r="J112" s="17">
        <v>3450</v>
      </c>
      <c r="M112" s="76">
        <v>500</v>
      </c>
      <c r="N112" s="73">
        <v>0.02</v>
      </c>
    </row>
    <row r="113" spans="1:14" x14ac:dyDescent="0.3">
      <c r="A113" s="17">
        <v>326</v>
      </c>
      <c r="B113" s="17" t="s">
        <v>32</v>
      </c>
      <c r="C113" s="17" t="s">
        <v>509</v>
      </c>
      <c r="D113" s="17" t="s">
        <v>31</v>
      </c>
      <c r="E113" s="75">
        <v>43362</v>
      </c>
      <c r="F113" s="70">
        <f ca="1">DATEDIF(EmpTable[[#This Row],[Start Date]],TODAY(),"Y")</f>
        <v>6</v>
      </c>
      <c r="G113" s="17" t="s">
        <v>352</v>
      </c>
      <c r="H113" s="17" t="s">
        <v>28</v>
      </c>
      <c r="I113" s="17" t="s">
        <v>41</v>
      </c>
      <c r="J113" s="17">
        <v>1226</v>
      </c>
      <c r="M113" s="76">
        <v>1000</v>
      </c>
      <c r="N113" s="73">
        <v>0.04</v>
      </c>
    </row>
    <row r="114" spans="1:14" x14ac:dyDescent="0.3">
      <c r="A114" s="17">
        <v>327</v>
      </c>
      <c r="B114" s="17" t="s">
        <v>32</v>
      </c>
      <c r="C114" s="17" t="s">
        <v>63</v>
      </c>
      <c r="D114" s="17" t="s">
        <v>31</v>
      </c>
      <c r="E114" s="75">
        <v>43707</v>
      </c>
      <c r="F114" s="70">
        <f ca="1">DATEDIF(EmpTable[[#This Row],[Start Date]],TODAY(),"Y")</f>
        <v>9</v>
      </c>
      <c r="G114" s="17" t="s">
        <v>76</v>
      </c>
      <c r="H114" s="17" t="s">
        <v>17</v>
      </c>
      <c r="I114" s="17" t="s">
        <v>35</v>
      </c>
      <c r="J114" s="17">
        <v>3219</v>
      </c>
      <c r="M114" s="76">
        <v>2000</v>
      </c>
      <c r="N114" s="73">
        <v>0.06</v>
      </c>
    </row>
    <row r="115" spans="1:14" x14ac:dyDescent="0.3">
      <c r="A115" s="17">
        <v>328</v>
      </c>
      <c r="B115" s="17" t="s">
        <v>169</v>
      </c>
      <c r="C115" s="17" t="s">
        <v>510</v>
      </c>
      <c r="D115" s="17" t="s">
        <v>31</v>
      </c>
      <c r="E115" s="75">
        <v>43574</v>
      </c>
      <c r="F115" s="70">
        <f ca="1">DATEDIF(EmpTable[[#This Row],[Start Date]],TODAY(),"Y")</f>
        <v>9</v>
      </c>
      <c r="G115" s="17" t="s">
        <v>16</v>
      </c>
      <c r="H115" s="17" t="s">
        <v>21</v>
      </c>
      <c r="I115" s="17" t="s">
        <v>41</v>
      </c>
      <c r="J115" s="17">
        <v>2060</v>
      </c>
      <c r="M115" s="76">
        <v>3000</v>
      </c>
      <c r="N115" s="73">
        <v>0.08</v>
      </c>
    </row>
    <row r="116" spans="1:14" x14ac:dyDescent="0.3">
      <c r="A116" s="17">
        <v>329</v>
      </c>
      <c r="B116" s="17" t="s">
        <v>36</v>
      </c>
      <c r="C116" s="17" t="s">
        <v>511</v>
      </c>
      <c r="D116" s="17" t="s">
        <v>306</v>
      </c>
      <c r="E116" s="75">
        <v>43483</v>
      </c>
      <c r="F116" s="70">
        <f ca="1">DATEDIF(EmpTable[[#This Row],[Start Date]],TODAY(),"Y")</f>
        <v>6</v>
      </c>
      <c r="G116" s="17" t="s">
        <v>49</v>
      </c>
      <c r="H116" s="17" t="s">
        <v>47</v>
      </c>
      <c r="I116" s="17" t="s">
        <v>41</v>
      </c>
      <c r="J116" s="17">
        <v>2479</v>
      </c>
    </row>
    <row r="117" spans="1:14" x14ac:dyDescent="0.3">
      <c r="A117" s="17">
        <v>330</v>
      </c>
      <c r="B117" s="17" t="s">
        <v>374</v>
      </c>
      <c r="C117" s="17" t="s">
        <v>512</v>
      </c>
      <c r="D117" s="17" t="s">
        <v>306</v>
      </c>
      <c r="E117" s="75">
        <v>43248</v>
      </c>
      <c r="F117" s="70">
        <f ca="1">DATEDIF(EmpTable[[#This Row],[Start Date]],TODAY(),"Y")</f>
        <v>6</v>
      </c>
      <c r="G117" s="17" t="s">
        <v>34</v>
      </c>
      <c r="H117" s="17" t="s">
        <v>28</v>
      </c>
      <c r="I117" s="17" t="s">
        <v>41</v>
      </c>
      <c r="J117" s="17">
        <v>2106</v>
      </c>
    </row>
    <row r="118" spans="1:14" x14ac:dyDescent="0.3">
      <c r="A118" s="17">
        <v>331</v>
      </c>
      <c r="B118" s="17" t="s">
        <v>294</v>
      </c>
      <c r="C118" s="17" t="s">
        <v>513</v>
      </c>
      <c r="D118" s="17" t="s">
        <v>306</v>
      </c>
      <c r="E118" s="75">
        <v>43623</v>
      </c>
      <c r="F118" s="70">
        <f ca="1">DATEDIF(EmpTable[[#This Row],[Start Date]],TODAY(),"Y")</f>
        <v>6</v>
      </c>
      <c r="G118" s="17" t="s">
        <v>27</v>
      </c>
      <c r="H118" s="17" t="s">
        <v>21</v>
      </c>
      <c r="I118" s="17" t="s">
        <v>59</v>
      </c>
      <c r="J118" s="17">
        <v>1480</v>
      </c>
    </row>
    <row r="119" spans="1:14" x14ac:dyDescent="0.3">
      <c r="A119" s="17">
        <v>332</v>
      </c>
      <c r="B119" s="17" t="s">
        <v>514</v>
      </c>
      <c r="C119" s="17" t="s">
        <v>515</v>
      </c>
      <c r="D119" s="17" t="s">
        <v>306</v>
      </c>
      <c r="E119" s="75">
        <v>43058</v>
      </c>
      <c r="F119" s="70">
        <f ca="1">DATEDIF(EmpTable[[#This Row],[Start Date]],TODAY(),"Y")</f>
        <v>8</v>
      </c>
      <c r="G119" s="17" t="s">
        <v>27</v>
      </c>
      <c r="H119" s="17" t="s">
        <v>17</v>
      </c>
      <c r="I119" s="17" t="s">
        <v>18</v>
      </c>
      <c r="J119" s="17">
        <v>994</v>
      </c>
    </row>
    <row r="120" spans="1:14" x14ac:dyDescent="0.3">
      <c r="A120" s="17">
        <v>333</v>
      </c>
      <c r="B120" s="17" t="s">
        <v>29</v>
      </c>
      <c r="C120" s="17" t="s">
        <v>516</v>
      </c>
      <c r="D120" s="17" t="s">
        <v>31</v>
      </c>
      <c r="E120" s="75">
        <v>43797</v>
      </c>
      <c r="F120" s="70">
        <f ca="1">DATEDIF(EmpTable[[#This Row],[Start Date]],TODAY(),"Y")</f>
        <v>6</v>
      </c>
      <c r="G120" s="17" t="s">
        <v>52</v>
      </c>
      <c r="H120" s="17" t="s">
        <v>28</v>
      </c>
      <c r="I120" s="17" t="s">
        <v>41</v>
      </c>
      <c r="J120" s="17">
        <v>2119</v>
      </c>
    </row>
    <row r="121" spans="1:14" x14ac:dyDescent="0.3">
      <c r="A121" s="17">
        <v>334</v>
      </c>
      <c r="B121" s="17" t="s">
        <v>517</v>
      </c>
      <c r="C121" s="17" t="s">
        <v>518</v>
      </c>
      <c r="D121" s="17" t="s">
        <v>31</v>
      </c>
      <c r="E121" s="75">
        <v>43378</v>
      </c>
      <c r="F121" s="70">
        <f ca="1">DATEDIF(EmpTable[[#This Row],[Start Date]],TODAY(),"Y")</f>
        <v>9</v>
      </c>
      <c r="G121" s="17" t="s">
        <v>49</v>
      </c>
      <c r="H121" s="17" t="s">
        <v>17</v>
      </c>
      <c r="I121" s="17" t="s">
        <v>41</v>
      </c>
      <c r="J121" s="17">
        <v>1577</v>
      </c>
    </row>
    <row r="122" spans="1:14" x14ac:dyDescent="0.3">
      <c r="A122" s="17">
        <v>335</v>
      </c>
      <c r="B122" s="17" t="s">
        <v>48</v>
      </c>
      <c r="C122" s="17" t="s">
        <v>519</v>
      </c>
      <c r="D122" s="17" t="s">
        <v>31</v>
      </c>
      <c r="E122" s="75">
        <v>43224</v>
      </c>
      <c r="F122" s="70">
        <f ca="1">DATEDIF(EmpTable[[#This Row],[Start Date]],TODAY(),"Y")</f>
        <v>6</v>
      </c>
      <c r="G122" s="17" t="s">
        <v>16</v>
      </c>
      <c r="H122" s="17" t="s">
        <v>28</v>
      </c>
      <c r="I122" s="17" t="s">
        <v>41</v>
      </c>
      <c r="J122" s="17">
        <v>3160</v>
      </c>
    </row>
    <row r="123" spans="1:14" x14ac:dyDescent="0.3">
      <c r="A123" s="17">
        <v>336</v>
      </c>
      <c r="B123" s="17" t="s">
        <v>63</v>
      </c>
      <c r="C123" s="17" t="s">
        <v>520</v>
      </c>
      <c r="D123" s="17" t="s">
        <v>31</v>
      </c>
      <c r="E123" s="75">
        <v>44123</v>
      </c>
      <c r="F123" s="70">
        <f ca="1">DATEDIF(EmpTable[[#This Row],[Start Date]],TODAY(),"Y")</f>
        <v>6</v>
      </c>
      <c r="G123" s="17" t="s">
        <v>87</v>
      </c>
      <c r="H123" s="17" t="s">
        <v>21</v>
      </c>
      <c r="I123" s="17" t="s">
        <v>41</v>
      </c>
      <c r="J123" s="17">
        <v>2692</v>
      </c>
    </row>
    <row r="124" spans="1:14" x14ac:dyDescent="0.3">
      <c r="A124" s="17">
        <v>337</v>
      </c>
      <c r="B124" s="17" t="s">
        <v>521</v>
      </c>
      <c r="C124" s="17" t="s">
        <v>522</v>
      </c>
      <c r="D124" s="17" t="s">
        <v>31</v>
      </c>
      <c r="E124" s="75">
        <v>43430</v>
      </c>
      <c r="F124" s="70">
        <f ca="1">DATEDIF(EmpTable[[#This Row],[Start Date]],TODAY(),"Y")</f>
        <v>5</v>
      </c>
      <c r="G124" s="17" t="s">
        <v>40</v>
      </c>
      <c r="H124" s="17" t="s">
        <v>28</v>
      </c>
      <c r="I124" s="17" t="s">
        <v>59</v>
      </c>
      <c r="J124" s="17">
        <v>1448</v>
      </c>
    </row>
    <row r="125" spans="1:14" x14ac:dyDescent="0.3">
      <c r="A125" s="17">
        <v>338</v>
      </c>
      <c r="B125" s="17" t="s">
        <v>523</v>
      </c>
      <c r="C125" s="17" t="s">
        <v>524</v>
      </c>
      <c r="D125" s="17" t="s">
        <v>306</v>
      </c>
      <c r="E125" s="75">
        <v>43541</v>
      </c>
      <c r="F125" s="70">
        <f ca="1">DATEDIF(EmpTable[[#This Row],[Start Date]],TODAY(),"Y")</f>
        <v>8</v>
      </c>
      <c r="G125" s="17" t="s">
        <v>27</v>
      </c>
      <c r="H125" s="17" t="s">
        <v>17</v>
      </c>
      <c r="I125" s="17" t="s">
        <v>18</v>
      </c>
      <c r="J125" s="17">
        <v>1568</v>
      </c>
    </row>
    <row r="126" spans="1:14" x14ac:dyDescent="0.3">
      <c r="A126" s="17">
        <v>339</v>
      </c>
      <c r="B126" s="17" t="s">
        <v>436</v>
      </c>
      <c r="C126" s="17" t="s">
        <v>525</v>
      </c>
      <c r="D126" s="17" t="s">
        <v>31</v>
      </c>
      <c r="E126" s="75">
        <v>42724</v>
      </c>
      <c r="F126" s="70">
        <f ca="1">DATEDIF(EmpTable[[#This Row],[Start Date]],TODAY(),"Y")</f>
        <v>8</v>
      </c>
      <c r="G126" s="17" t="s">
        <v>52</v>
      </c>
      <c r="H126" s="17" t="s">
        <v>17</v>
      </c>
      <c r="I126" s="17" t="s">
        <v>35</v>
      </c>
      <c r="J126" s="17">
        <v>1823</v>
      </c>
    </row>
    <row r="127" spans="1:14" x14ac:dyDescent="0.3">
      <c r="A127" s="17">
        <v>340</v>
      </c>
      <c r="B127" s="17" t="s">
        <v>526</v>
      </c>
      <c r="C127" s="17" t="s">
        <v>527</v>
      </c>
      <c r="D127" s="17" t="s">
        <v>31</v>
      </c>
      <c r="E127" s="75">
        <v>43512</v>
      </c>
      <c r="F127" s="70">
        <f ca="1">DATEDIF(EmpTable[[#This Row],[Start Date]],TODAY(),"Y")</f>
        <v>6</v>
      </c>
      <c r="G127" s="17" t="s">
        <v>27</v>
      </c>
      <c r="H127" s="17" t="s">
        <v>17</v>
      </c>
      <c r="I127" s="17" t="s">
        <v>18</v>
      </c>
      <c r="J127" s="17">
        <v>1712</v>
      </c>
    </row>
    <row r="130" spans="1:15" x14ac:dyDescent="0.3">
      <c r="A130" s="53" t="s">
        <v>898</v>
      </c>
      <c r="B130" s="53" t="s">
        <v>0</v>
      </c>
      <c r="C130" s="53" t="s">
        <v>1</v>
      </c>
      <c r="D130" s="53" t="s">
        <v>2</v>
      </c>
      <c r="E130" s="52" t="s">
        <v>3</v>
      </c>
      <c r="F130" s="52" t="s">
        <v>4</v>
      </c>
      <c r="G130" s="53" t="s">
        <v>5</v>
      </c>
      <c r="H130" s="53" t="s">
        <v>6</v>
      </c>
      <c r="I130" s="53" t="s">
        <v>7</v>
      </c>
      <c r="J130" s="53" t="s">
        <v>8</v>
      </c>
      <c r="K130" s="53" t="s">
        <v>972</v>
      </c>
      <c r="L130" s="74" t="s">
        <v>973</v>
      </c>
      <c r="N130" s="79">
        <f t="shared" ref="N130:N137" si="0">J131*K131</f>
        <v>0</v>
      </c>
    </row>
    <row r="131" spans="1:15" x14ac:dyDescent="0.3">
      <c r="A131" s="17">
        <v>325</v>
      </c>
      <c r="B131" s="17" t="s">
        <v>508</v>
      </c>
      <c r="C131" s="17" t="s">
        <v>197</v>
      </c>
      <c r="D131" s="17" t="s">
        <v>31</v>
      </c>
      <c r="E131" s="75">
        <v>43136</v>
      </c>
      <c r="F131" s="70">
        <f ca="1">DATEDIF(EmpTable[[#This Row],[Start Date]],TODAY(),"Y")</f>
        <v>6</v>
      </c>
      <c r="G131" s="17" t="s">
        <v>40</v>
      </c>
      <c r="H131" s="17" t="s">
        <v>17</v>
      </c>
      <c r="I131" s="17" t="s">
        <v>35</v>
      </c>
      <c r="J131" s="17">
        <v>3450</v>
      </c>
      <c r="K131" s="77"/>
      <c r="L131" s="80"/>
      <c r="M131" s="2"/>
      <c r="N131" s="79">
        <f t="shared" si="0"/>
        <v>0</v>
      </c>
    </row>
    <row r="132" spans="1:15" x14ac:dyDescent="0.3">
      <c r="A132" s="17">
        <v>326</v>
      </c>
      <c r="B132" s="17" t="s">
        <v>32</v>
      </c>
      <c r="C132" s="17" t="s">
        <v>509</v>
      </c>
      <c r="D132" s="17" t="s">
        <v>31</v>
      </c>
      <c r="E132" s="75">
        <v>43362</v>
      </c>
      <c r="F132" s="70">
        <f ca="1">DATEDIF(EmpTable[[#This Row],[Start Date]],TODAY(),"Y")</f>
        <v>6</v>
      </c>
      <c r="G132" s="17" t="s">
        <v>352</v>
      </c>
      <c r="H132" s="17" t="s">
        <v>28</v>
      </c>
      <c r="I132" s="17" t="s">
        <v>41</v>
      </c>
      <c r="J132" s="17">
        <v>1226</v>
      </c>
      <c r="K132" s="77"/>
      <c r="L132" s="80"/>
      <c r="N132" s="79">
        <f t="shared" si="0"/>
        <v>0</v>
      </c>
    </row>
    <row r="133" spans="1:15" x14ac:dyDescent="0.3">
      <c r="A133" s="17">
        <v>327</v>
      </c>
      <c r="B133" s="17" t="s">
        <v>32</v>
      </c>
      <c r="C133" s="17" t="s">
        <v>63</v>
      </c>
      <c r="D133" s="17" t="s">
        <v>31</v>
      </c>
      <c r="E133" s="75">
        <v>43707</v>
      </c>
      <c r="F133" s="70">
        <f ca="1">DATEDIF(EmpTable[[#This Row],[Start Date]],TODAY(),"Y")</f>
        <v>9</v>
      </c>
      <c r="G133" s="17" t="s">
        <v>76</v>
      </c>
      <c r="H133" s="17" t="s">
        <v>17</v>
      </c>
      <c r="I133" s="17" t="s">
        <v>35</v>
      </c>
      <c r="J133" s="17">
        <v>3219</v>
      </c>
      <c r="K133" s="77"/>
      <c r="L133" s="80"/>
      <c r="N133" s="79">
        <f t="shared" si="0"/>
        <v>0</v>
      </c>
    </row>
    <row r="134" spans="1:15" x14ac:dyDescent="0.3">
      <c r="A134" s="17">
        <v>328</v>
      </c>
      <c r="B134" s="17" t="s">
        <v>169</v>
      </c>
      <c r="C134" s="17" t="s">
        <v>510</v>
      </c>
      <c r="D134" s="17" t="s">
        <v>31</v>
      </c>
      <c r="E134" s="75">
        <v>43574</v>
      </c>
      <c r="F134" s="70">
        <f ca="1">DATEDIF(EmpTable[[#This Row],[Start Date]],TODAY(),"Y")</f>
        <v>8</v>
      </c>
      <c r="G134" s="17" t="s">
        <v>16</v>
      </c>
      <c r="H134" s="17" t="s">
        <v>21</v>
      </c>
      <c r="I134" s="17" t="s">
        <v>41</v>
      </c>
      <c r="J134" s="17">
        <v>2060</v>
      </c>
      <c r="K134" s="77"/>
      <c r="L134" s="80"/>
      <c r="N134" s="79">
        <f t="shared" si="0"/>
        <v>0</v>
      </c>
    </row>
    <row r="135" spans="1:15" x14ac:dyDescent="0.3">
      <c r="A135" s="17">
        <v>329</v>
      </c>
      <c r="B135" s="17" t="s">
        <v>36</v>
      </c>
      <c r="C135" s="17" t="s">
        <v>511</v>
      </c>
      <c r="D135" s="17" t="s">
        <v>306</v>
      </c>
      <c r="E135" s="75">
        <v>43483</v>
      </c>
      <c r="F135" s="70">
        <f ca="1">DATEDIF(EmpTable[[#This Row],[Start Date]],TODAY(),"Y")</f>
        <v>8</v>
      </c>
      <c r="G135" s="17" t="s">
        <v>49</v>
      </c>
      <c r="H135" s="17" t="s">
        <v>47</v>
      </c>
      <c r="I135" s="17" t="s">
        <v>41</v>
      </c>
      <c r="J135" s="17">
        <v>2479</v>
      </c>
      <c r="K135" s="77"/>
      <c r="L135" s="80"/>
      <c r="N135" s="79">
        <f t="shared" si="0"/>
        <v>0</v>
      </c>
    </row>
    <row r="136" spans="1:15" x14ac:dyDescent="0.3">
      <c r="A136" s="17">
        <v>330</v>
      </c>
      <c r="B136" s="17" t="s">
        <v>374</v>
      </c>
      <c r="C136" s="17" t="s">
        <v>512</v>
      </c>
      <c r="D136" s="17" t="s">
        <v>306</v>
      </c>
      <c r="E136" s="75">
        <v>43248</v>
      </c>
      <c r="F136" s="70">
        <f ca="1">DATEDIF(EmpTable[[#This Row],[Start Date]],TODAY(),"Y")</f>
        <v>7</v>
      </c>
      <c r="G136" s="17" t="s">
        <v>34</v>
      </c>
      <c r="H136" s="17" t="s">
        <v>28</v>
      </c>
      <c r="I136" s="17" t="s">
        <v>41</v>
      </c>
      <c r="J136" s="17">
        <v>2106</v>
      </c>
      <c r="K136" s="77"/>
      <c r="L136" s="80"/>
      <c r="N136" s="79">
        <f t="shared" si="0"/>
        <v>0</v>
      </c>
    </row>
    <row r="137" spans="1:15" x14ac:dyDescent="0.3">
      <c r="A137" s="17">
        <v>331</v>
      </c>
      <c r="B137" s="17" t="s">
        <v>294</v>
      </c>
      <c r="C137" s="17" t="s">
        <v>513</v>
      </c>
      <c r="D137" s="17" t="s">
        <v>306</v>
      </c>
      <c r="E137" s="75">
        <v>43623</v>
      </c>
      <c r="F137" s="70">
        <f ca="1">DATEDIF(EmpTable[[#This Row],[Start Date]],TODAY(),"Y")</f>
        <v>6</v>
      </c>
      <c r="G137" s="17" t="s">
        <v>27</v>
      </c>
      <c r="H137" s="17" t="s">
        <v>21</v>
      </c>
      <c r="I137" s="17" t="s">
        <v>59</v>
      </c>
      <c r="J137" s="17">
        <v>1480</v>
      </c>
      <c r="K137" s="77"/>
      <c r="L137" s="80"/>
      <c r="N137" s="79">
        <f t="shared" si="0"/>
        <v>0</v>
      </c>
    </row>
    <row r="138" spans="1:15" x14ac:dyDescent="0.3">
      <c r="A138" s="17">
        <v>332</v>
      </c>
      <c r="B138" s="17" t="s">
        <v>514</v>
      </c>
      <c r="C138" s="17" t="s">
        <v>515</v>
      </c>
      <c r="D138" s="17" t="s">
        <v>306</v>
      </c>
      <c r="E138" s="75">
        <v>43058</v>
      </c>
      <c r="F138" s="70">
        <f ca="1">DATEDIF(EmpTable[[#This Row],[Start Date]],TODAY(),"Y")</f>
        <v>6</v>
      </c>
      <c r="G138" s="17" t="s">
        <v>27</v>
      </c>
      <c r="H138" s="17" t="s">
        <v>17</v>
      </c>
      <c r="I138" s="17" t="s">
        <v>18</v>
      </c>
      <c r="J138" s="17">
        <v>994</v>
      </c>
      <c r="K138" s="77"/>
      <c r="L138" s="80"/>
    </row>
    <row r="140" spans="1:15" x14ac:dyDescent="0.3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</row>
    <row r="142" spans="1:15" x14ac:dyDescent="0.3">
      <c r="B142" s="112" t="s">
        <v>974</v>
      </c>
      <c r="C142" s="112"/>
      <c r="G142" s="112" t="s">
        <v>984</v>
      </c>
      <c r="H142" s="112"/>
      <c r="I142" s="112"/>
      <c r="J142" s="112"/>
      <c r="K142" s="112"/>
      <c r="L142" s="112"/>
    </row>
    <row r="143" spans="1:15" x14ac:dyDescent="0.3">
      <c r="B143" s="112"/>
      <c r="C143" s="112"/>
      <c r="G143" s="112"/>
      <c r="H143" s="112"/>
      <c r="I143" s="112"/>
      <c r="J143" s="112"/>
      <c r="K143" s="112"/>
      <c r="L143" s="112"/>
    </row>
    <row r="145" spans="2:14" x14ac:dyDescent="0.3">
      <c r="F145" s="78" t="s">
        <v>975</v>
      </c>
      <c r="G145" s="78" t="s">
        <v>976</v>
      </c>
      <c r="H145" s="78" t="s">
        <v>977</v>
      </c>
      <c r="I145" s="78" t="s">
        <v>978</v>
      </c>
      <c r="J145" s="78" t="s">
        <v>979</v>
      </c>
      <c r="K145" s="78" t="s">
        <v>980</v>
      </c>
      <c r="L145" s="78" t="s">
        <v>981</v>
      </c>
      <c r="M145" s="78" t="s">
        <v>982</v>
      </c>
      <c r="N145" s="78" t="s">
        <v>983</v>
      </c>
    </row>
    <row r="146" spans="2:14" ht="16.2" thickBot="1" x14ac:dyDescent="0.35">
      <c r="B146" s="51" t="s">
        <v>0</v>
      </c>
      <c r="C146" s="51" t="s">
        <v>1</v>
      </c>
    </row>
    <row r="147" spans="2:14" ht="16.2" thickTop="1" x14ac:dyDescent="0.3">
      <c r="B147" s="41" t="s">
        <v>14</v>
      </c>
      <c r="C147" s="41" t="s">
        <v>15</v>
      </c>
      <c r="D147" s="8"/>
    </row>
    <row r="148" spans="2:14" x14ac:dyDescent="0.3">
      <c r="B148" s="42" t="s">
        <v>19</v>
      </c>
      <c r="C148" s="42" t="s">
        <v>20</v>
      </c>
      <c r="D148" s="8"/>
    </row>
    <row r="149" spans="2:14" x14ac:dyDescent="0.3">
      <c r="B149" s="41" t="s">
        <v>22</v>
      </c>
      <c r="C149" s="41" t="s">
        <v>23</v>
      </c>
      <c r="D149" s="8"/>
    </row>
    <row r="150" spans="2:14" x14ac:dyDescent="0.3">
      <c r="B150" s="42" t="s">
        <v>25</v>
      </c>
      <c r="C150" s="42" t="s">
        <v>26</v>
      </c>
      <c r="D150" s="8"/>
    </row>
    <row r="151" spans="2:14" x14ac:dyDescent="0.3">
      <c r="B151" s="41" t="s">
        <v>29</v>
      </c>
      <c r="C151" s="41" t="s">
        <v>30</v>
      </c>
      <c r="D151" s="8"/>
    </row>
    <row r="152" spans="2:14" x14ac:dyDescent="0.3">
      <c r="B152" s="42" t="s">
        <v>32</v>
      </c>
      <c r="C152" s="42" t="s">
        <v>33</v>
      </c>
      <c r="D152" s="8"/>
    </row>
    <row r="153" spans="2:14" x14ac:dyDescent="0.3">
      <c r="B153" s="41" t="s">
        <v>36</v>
      </c>
      <c r="C153" s="41" t="s">
        <v>37</v>
      </c>
      <c r="D153" s="8"/>
    </row>
    <row r="154" spans="2:14" x14ac:dyDescent="0.3">
      <c r="B154" s="42" t="s">
        <v>32</v>
      </c>
      <c r="C154" s="42" t="s">
        <v>39</v>
      </c>
      <c r="D154" s="8"/>
    </row>
    <row r="155" spans="2:14" x14ac:dyDescent="0.3">
      <c r="B155" s="41" t="s">
        <v>42</v>
      </c>
      <c r="C155" s="41" t="s">
        <v>43</v>
      </c>
      <c r="D155" s="8"/>
    </row>
    <row r="156" spans="2:14" x14ac:dyDescent="0.3">
      <c r="B156" s="42" t="s">
        <v>32</v>
      </c>
      <c r="C156" s="42" t="s">
        <v>45</v>
      </c>
      <c r="D156" s="8"/>
    </row>
    <row r="157" spans="2:14" x14ac:dyDescent="0.3">
      <c r="B157" s="41" t="s">
        <v>32</v>
      </c>
      <c r="C157" s="41" t="s">
        <v>46</v>
      </c>
      <c r="D157" s="8"/>
    </row>
    <row r="158" spans="2:14" x14ac:dyDescent="0.3">
      <c r="B158" s="42" t="s">
        <v>32</v>
      </c>
      <c r="C158" s="42" t="s">
        <v>48</v>
      </c>
      <c r="D158" s="8"/>
    </row>
    <row r="159" spans="2:14" x14ac:dyDescent="0.3">
      <c r="B159" s="41" t="s">
        <v>50</v>
      </c>
      <c r="C159" s="41" t="s">
        <v>51</v>
      </c>
      <c r="D159" s="8"/>
    </row>
    <row r="160" spans="2:14" x14ac:dyDescent="0.3">
      <c r="B160" s="42" t="s">
        <v>53</v>
      </c>
      <c r="C160" s="42" t="s">
        <v>54</v>
      </c>
      <c r="D160" s="8"/>
    </row>
    <row r="161" spans="1:14" x14ac:dyDescent="0.3">
      <c r="B161" s="41" t="s">
        <v>55</v>
      </c>
      <c r="C161" s="41" t="s">
        <v>56</v>
      </c>
      <c r="D161" s="8"/>
    </row>
    <row r="162" spans="1:14" x14ac:dyDescent="0.3">
      <c r="B162" s="42" t="s">
        <v>58</v>
      </c>
      <c r="C162" s="42" t="s">
        <v>32</v>
      </c>
      <c r="D162" s="8"/>
    </row>
    <row r="163" spans="1:14" x14ac:dyDescent="0.3">
      <c r="B163" s="41" t="s">
        <v>60</v>
      </c>
      <c r="C163" s="41" t="s">
        <v>61</v>
      </c>
      <c r="D163" s="8"/>
    </row>
    <row r="164" spans="1:14" x14ac:dyDescent="0.3">
      <c r="B164" s="42" t="s">
        <v>62</v>
      </c>
      <c r="C164" s="42" t="s">
        <v>63</v>
      </c>
      <c r="D164" s="8"/>
    </row>
    <row r="165" spans="1:14" x14ac:dyDescent="0.3">
      <c r="B165" s="41" t="s">
        <v>64</v>
      </c>
      <c r="C165" s="41" t="s">
        <v>65</v>
      </c>
      <c r="D165" s="8"/>
    </row>
    <row r="167" spans="1:14" x14ac:dyDescent="0.3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</row>
    <row r="169" spans="1:14" x14ac:dyDescent="0.3">
      <c r="D169" s="112" t="s">
        <v>989</v>
      </c>
      <c r="E169" s="112"/>
      <c r="F169" s="112"/>
      <c r="G169" s="112"/>
      <c r="H169" s="112"/>
    </row>
    <row r="170" spans="1:14" x14ac:dyDescent="0.3">
      <c r="D170" s="112"/>
      <c r="E170" s="112"/>
      <c r="F170" s="112"/>
      <c r="G170" s="112"/>
      <c r="H170" s="112"/>
      <c r="J170" s="1">
        <v>37117</v>
      </c>
    </row>
    <row r="172" spans="1:14" x14ac:dyDescent="0.3">
      <c r="D172" s="78" t="s">
        <v>985</v>
      </c>
      <c r="E172" s="78" t="s">
        <v>986</v>
      </c>
      <c r="F172" s="78" t="s">
        <v>987</v>
      </c>
      <c r="G172" s="78" t="s">
        <v>988</v>
      </c>
      <c r="H172" s="78" t="s">
        <v>990</v>
      </c>
    </row>
    <row r="173" spans="1:14" x14ac:dyDescent="0.3">
      <c r="D173" s="1"/>
      <c r="H173" t="str">
        <f>TEXT(J170,"DDD-MMM-YYY")</f>
        <v>Tue-Aug-2001</v>
      </c>
      <c r="J173" s="69"/>
    </row>
  </sheetData>
  <mergeCells count="19">
    <mergeCell ref="M31:N31"/>
    <mergeCell ref="B44:D44"/>
    <mergeCell ref="B43:C43"/>
    <mergeCell ref="B50:C50"/>
    <mergeCell ref="B57:B60"/>
    <mergeCell ref="F50:H50"/>
    <mergeCell ref="J50:L50"/>
    <mergeCell ref="B31:C31"/>
    <mergeCell ref="E31:H31"/>
    <mergeCell ref="J31:K31"/>
    <mergeCell ref="D169:H170"/>
    <mergeCell ref="G142:L143"/>
    <mergeCell ref="B98:C99"/>
    <mergeCell ref="B142:C143"/>
    <mergeCell ref="N50:P50"/>
    <mergeCell ref="J76:M82"/>
    <mergeCell ref="A96:Q96"/>
    <mergeCell ref="A74:B75"/>
    <mergeCell ref="B63:B66"/>
  </mergeCells>
  <conditionalFormatting sqref="D101">
    <cfRule type="containsText" dxfId="29" priority="19" operator="containsText" text="sales">
      <formula>NOT(ISERROR(SEARCH("sales",D101)))</formula>
    </cfRule>
    <cfRule type="containsText" dxfId="28" priority="20" operator="containsText" text="IT">
      <formula>NOT(ISERROR(SEARCH("IT",D101)))</formula>
    </cfRule>
  </conditionalFormatting>
  <conditionalFormatting sqref="E76">
    <cfRule type="top10" dxfId="27" priority="22" rank="3"/>
  </conditionalFormatting>
  <conditionalFormatting sqref="G1">
    <cfRule type="containsText" dxfId="26" priority="28" operator="containsText" text="sales">
      <formula>NOT(ISERROR(SEARCH("sales",G1)))</formula>
    </cfRule>
    <cfRule type="containsText" dxfId="25" priority="29" operator="containsText" text="IT">
      <formula>NOT(ISERROR(SEARCH("IT",G1)))</formula>
    </cfRule>
  </conditionalFormatting>
  <conditionalFormatting sqref="G111">
    <cfRule type="containsText" dxfId="24" priority="11" operator="containsText" text="sales">
      <formula>NOT(ISERROR(SEARCH("sales",G111)))</formula>
    </cfRule>
    <cfRule type="containsText" dxfId="23" priority="12" operator="containsText" text="IT">
      <formula>NOT(ISERROR(SEARCH("IT",G111)))</formula>
    </cfRule>
  </conditionalFormatting>
  <conditionalFormatting sqref="G130">
    <cfRule type="containsText" dxfId="22" priority="4" operator="containsText" text="sales">
      <formula>NOT(ISERROR(SEARCH("sales",G130)))</formula>
    </cfRule>
    <cfRule type="containsText" dxfId="21" priority="5" operator="containsText" text="IT">
      <formula>NOT(ISERROR(SEARCH("IT",G130)))</formula>
    </cfRule>
  </conditionalFormatting>
  <conditionalFormatting sqref="H53:H71">
    <cfRule type="containsText" dxfId="20" priority="21" operator="containsText" text="True">
      <formula>NOT(ISERROR(SEARCH("True",H53)))</formula>
    </cfRule>
    <cfRule type="containsText" dxfId="19" priority="27" operator="containsText" text="TRUE">
      <formula>NOT(ISERROR(SEARCH("TRUE",H53)))</formula>
    </cfRule>
  </conditionalFormatting>
  <conditionalFormatting sqref="J1">
    <cfRule type="top10" dxfId="18" priority="30" rank="3"/>
  </conditionalFormatting>
  <conditionalFormatting sqref="J111">
    <cfRule type="top10" dxfId="17" priority="13" rank="3"/>
  </conditionalFormatting>
  <conditionalFormatting sqref="J130">
    <cfRule type="top10" dxfId="16" priority="6" rank="3"/>
  </conditionalFormatting>
  <conditionalFormatting sqref="K101">
    <cfRule type="containsText" dxfId="15" priority="17" operator="containsText" text="sales">
      <formula>NOT(ISERROR(SEARCH("sales",K101)))</formula>
    </cfRule>
    <cfRule type="containsText" dxfId="14" priority="18" operator="containsText" text="IT">
      <formula>NOT(ISERROR(SEARCH("IT",K101)))</formula>
    </cfRule>
  </conditionalFormatting>
  <conditionalFormatting sqref="K130:L130">
    <cfRule type="containsText" dxfId="13" priority="2" operator="containsText" text="sales">
      <formula>NOT(ISERROR(SEARCH("sales",K130)))</formula>
    </cfRule>
    <cfRule type="containsText" dxfId="12" priority="3" operator="containsText" text="IT">
      <formula>NOT(ISERROR(SEARCH("IT",K130)))</formula>
    </cfRule>
  </conditionalFormatting>
  <conditionalFormatting sqref="L53:L71">
    <cfRule type="containsText" dxfId="11" priority="26" operator="containsText" text="TRUE">
      <formula>NOT(ISERROR(SEARCH("TRUE",L53)))</formula>
    </cfRule>
  </conditionalFormatting>
  <conditionalFormatting sqref="M111">
    <cfRule type="top10" dxfId="10" priority="1" rank="3"/>
  </conditionalFormatting>
  <conditionalFormatting sqref="N52">
    <cfRule type="containsText" dxfId="9" priority="24" operator="containsText" text="sales">
      <formula>NOT(ISERROR(SEARCH("sales",N52)))</formula>
    </cfRule>
    <cfRule type="containsText" dxfId="8" priority="25" operator="containsText" text="IT">
      <formula>NOT(ISERROR(SEARCH("IT",N52)))</formula>
    </cfRule>
  </conditionalFormatting>
  <conditionalFormatting sqref="N111">
    <cfRule type="containsText" dxfId="7" priority="9" operator="containsText" text="sales">
      <formula>NOT(ISERROR(SEARCH("sales",N111)))</formula>
    </cfRule>
    <cfRule type="containsText" dxfId="6" priority="10" operator="containsText" text="IT">
      <formula>NOT(ISERROR(SEARCH("IT",N111)))</formula>
    </cfRule>
  </conditionalFormatting>
  <conditionalFormatting sqref="P53:P71">
    <cfRule type="containsText" dxfId="5" priority="23" operator="containsText" text="Not">
      <formula>NOT(ISERROR(SEARCH("Not",P53)))</formula>
    </cfRule>
  </conditionalFormatting>
  <dataValidations count="1">
    <dataValidation type="list" allowBlank="1" showInputMessage="1" showErrorMessage="1" sqref="C46" xr:uid="{00000000-0002-0000-0200-000000000000}">
      <formula1>$G$2:$G$20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5CCCD-9DFF-4123-BBCD-02506F7D0CE5}">
  <dimension ref="E21:L30"/>
  <sheetViews>
    <sheetView showGridLines="0" showRowColHeaders="0" tabSelected="1" zoomScale="10" zoomScaleNormal="10" workbookViewId="0">
      <selection activeCell="GI361" sqref="GI36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.6" x14ac:dyDescent="0.3"/>
  <cols>
    <col min="1" max="7" width="8.796875" style="101"/>
    <col min="8" max="8" width="12.5" style="101" bestFit="1" customWidth="1"/>
    <col min="9" max="9" width="20.69921875" style="101" bestFit="1" customWidth="1"/>
    <col min="10" max="16384" width="8.796875" style="101"/>
  </cols>
  <sheetData>
    <row r="21" spans="5:12" ht="25.8" x14ac:dyDescent="0.5">
      <c r="E21" s="103"/>
    </row>
    <row r="30" spans="5:12" x14ac:dyDescent="0.3">
      <c r="L30" s="100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C6244-556B-42D5-861F-E1DF20B5BE77}">
  <dimension ref="A1:R29"/>
  <sheetViews>
    <sheetView topLeftCell="F7" workbookViewId="0">
      <selection activeCell="L23" sqref="L23:M35"/>
    </sheetView>
  </sheetViews>
  <sheetFormatPr defaultRowHeight="15.6" x14ac:dyDescent="0.3"/>
  <cols>
    <col min="1" max="1" width="12.296875" bestFit="1" customWidth="1"/>
    <col min="2" max="2" width="19.09765625" bestFit="1" customWidth="1"/>
    <col min="3" max="3" width="15.5" bestFit="1" customWidth="1"/>
    <col min="4" max="4" width="12.296875" bestFit="1" customWidth="1"/>
    <col min="5" max="5" width="20" bestFit="1" customWidth="1"/>
    <col min="6" max="6" width="11.69921875" bestFit="1" customWidth="1"/>
    <col min="7" max="7" width="4.8984375" bestFit="1" customWidth="1"/>
    <col min="8" max="8" width="12.296875" bestFit="1" customWidth="1"/>
    <col min="9" max="9" width="16.5" bestFit="1" customWidth="1"/>
    <col min="10" max="10" width="11.69921875" bestFit="1" customWidth="1"/>
    <col min="12" max="12" width="12.296875" bestFit="1" customWidth="1"/>
    <col min="13" max="13" width="19.09765625" bestFit="1" customWidth="1"/>
    <col min="15" max="15" width="19.5" bestFit="1" customWidth="1"/>
    <col min="16" max="16" width="14.5" bestFit="1" customWidth="1"/>
    <col min="17" max="17" width="19.5" bestFit="1" customWidth="1"/>
    <col min="18" max="18" width="16.5" bestFit="1" customWidth="1"/>
  </cols>
  <sheetData>
    <row r="1" spans="1:18" x14ac:dyDescent="0.3">
      <c r="A1" s="93" t="s">
        <v>6</v>
      </c>
      <c r="B1" t="s">
        <v>17</v>
      </c>
      <c r="D1" s="93" t="s">
        <v>6</v>
      </c>
      <c r="E1" t="s">
        <v>17</v>
      </c>
    </row>
    <row r="2" spans="1:18" x14ac:dyDescent="0.3">
      <c r="D2" s="93" t="s">
        <v>2</v>
      </c>
      <c r="E2" t="s">
        <v>31</v>
      </c>
    </row>
    <row r="3" spans="1:18" x14ac:dyDescent="0.3">
      <c r="A3" s="93" t="s">
        <v>991</v>
      </c>
      <c r="B3" t="s">
        <v>998</v>
      </c>
    </row>
    <row r="4" spans="1:18" x14ac:dyDescent="0.3">
      <c r="A4" s="94">
        <v>5</v>
      </c>
      <c r="B4">
        <v>3</v>
      </c>
      <c r="D4" s="93" t="s">
        <v>991</v>
      </c>
      <c r="E4" t="s">
        <v>998</v>
      </c>
    </row>
    <row r="5" spans="1:18" x14ac:dyDescent="0.3">
      <c r="A5" s="94" t="s">
        <v>993</v>
      </c>
      <c r="B5">
        <v>3</v>
      </c>
      <c r="D5" s="94">
        <v>0</v>
      </c>
      <c r="E5">
        <v>3</v>
      </c>
    </row>
    <row r="6" spans="1:18" x14ac:dyDescent="0.3">
      <c r="D6" s="94" t="s">
        <v>993</v>
      </c>
      <c r="E6">
        <v>3</v>
      </c>
    </row>
    <row r="9" spans="1:18" x14ac:dyDescent="0.3">
      <c r="L9" s="93" t="s">
        <v>991</v>
      </c>
      <c r="M9" t="s">
        <v>1005</v>
      </c>
      <c r="O9" s="93" t="s">
        <v>991</v>
      </c>
      <c r="P9" t="s">
        <v>1004</v>
      </c>
      <c r="Q9" t="s">
        <v>1006</v>
      </c>
    </row>
    <row r="10" spans="1:18" x14ac:dyDescent="0.3">
      <c r="A10" s="93" t="s">
        <v>991</v>
      </c>
      <c r="B10" t="s">
        <v>995</v>
      </c>
      <c r="D10" s="93" t="s">
        <v>991</v>
      </c>
      <c r="E10" t="s">
        <v>996</v>
      </c>
      <c r="F10" t="s">
        <v>1004</v>
      </c>
      <c r="H10" s="93" t="s">
        <v>991</v>
      </c>
      <c r="I10" t="s">
        <v>1003</v>
      </c>
      <c r="L10" s="94" t="s">
        <v>40</v>
      </c>
      <c r="M10" s="119">
        <v>14</v>
      </c>
      <c r="O10" s="94" t="s">
        <v>306</v>
      </c>
      <c r="P10">
        <v>59</v>
      </c>
      <c r="Q10">
        <v>4</v>
      </c>
    </row>
    <row r="11" spans="1:18" x14ac:dyDescent="0.3">
      <c r="A11" s="94" t="s">
        <v>40</v>
      </c>
      <c r="B11">
        <v>3</v>
      </c>
      <c r="D11" s="94" t="s">
        <v>64</v>
      </c>
      <c r="E11">
        <v>2162</v>
      </c>
      <c r="F11">
        <v>7</v>
      </c>
      <c r="H11" s="94" t="s">
        <v>993</v>
      </c>
      <c r="L11" s="94" t="s">
        <v>52</v>
      </c>
      <c r="M11" s="119">
        <v>10</v>
      </c>
      <c r="O11" s="94" t="s">
        <v>31</v>
      </c>
      <c r="P11">
        <v>76</v>
      </c>
      <c r="Q11">
        <v>10</v>
      </c>
    </row>
    <row r="12" spans="1:18" x14ac:dyDescent="0.3">
      <c r="A12" s="94" t="s">
        <v>993</v>
      </c>
      <c r="B12">
        <v>3</v>
      </c>
      <c r="D12" s="94" t="s">
        <v>29</v>
      </c>
      <c r="E12">
        <v>970</v>
      </c>
      <c r="F12">
        <v>5</v>
      </c>
      <c r="L12" s="94" t="s">
        <v>44</v>
      </c>
      <c r="M12" s="119">
        <v>4.5</v>
      </c>
      <c r="O12" s="94" t="s">
        <v>992</v>
      </c>
    </row>
    <row r="13" spans="1:18" x14ac:dyDescent="0.3">
      <c r="D13" s="94" t="s">
        <v>22</v>
      </c>
      <c r="E13">
        <v>2506</v>
      </c>
      <c r="F13">
        <v>8</v>
      </c>
      <c r="L13" s="94" t="s">
        <v>49</v>
      </c>
      <c r="M13" s="119">
        <v>1</v>
      </c>
      <c r="O13" s="94" t="s">
        <v>993</v>
      </c>
      <c r="P13">
        <v>135</v>
      </c>
      <c r="Q13">
        <v>14</v>
      </c>
    </row>
    <row r="14" spans="1:18" x14ac:dyDescent="0.3">
      <c r="D14" s="94" t="s">
        <v>58</v>
      </c>
      <c r="E14">
        <v>930</v>
      </c>
      <c r="F14">
        <v>6</v>
      </c>
      <c r="L14" s="94" t="s">
        <v>24</v>
      </c>
      <c r="M14" s="119">
        <v>2</v>
      </c>
    </row>
    <row r="15" spans="1:18" x14ac:dyDescent="0.3">
      <c r="A15" s="98" t="s">
        <v>991</v>
      </c>
      <c r="B15" s="98" t="s">
        <v>998</v>
      </c>
      <c r="D15" s="94" t="s">
        <v>55</v>
      </c>
      <c r="E15">
        <v>889</v>
      </c>
      <c r="F15">
        <v>7</v>
      </c>
      <c r="H15" s="93" t="s">
        <v>991</v>
      </c>
      <c r="I15" t="s">
        <v>1003</v>
      </c>
      <c r="L15" s="94" t="s">
        <v>27</v>
      </c>
      <c r="M15" s="119">
        <v>10</v>
      </c>
    </row>
    <row r="16" spans="1:18" x14ac:dyDescent="0.3">
      <c r="A16" s="94">
        <v>0</v>
      </c>
      <c r="B16">
        <v>3</v>
      </c>
      <c r="D16" s="94" t="s">
        <v>62</v>
      </c>
      <c r="E16">
        <v>1295</v>
      </c>
      <c r="F16">
        <v>7</v>
      </c>
      <c r="H16" s="94" t="s">
        <v>40</v>
      </c>
      <c r="I16">
        <v>1</v>
      </c>
      <c r="L16" s="94" t="s">
        <v>57</v>
      </c>
      <c r="M16" s="119">
        <v>3</v>
      </c>
      <c r="Q16" s="93" t="s">
        <v>991</v>
      </c>
      <c r="R16" t="s">
        <v>1003</v>
      </c>
    </row>
    <row r="17" spans="1:17" x14ac:dyDescent="0.3">
      <c r="A17" s="102" t="s">
        <v>993</v>
      </c>
      <c r="B17" s="99">
        <v>3</v>
      </c>
      <c r="D17" s="94" t="s">
        <v>14</v>
      </c>
      <c r="E17">
        <v>1560</v>
      </c>
      <c r="F17">
        <v>7</v>
      </c>
      <c r="H17" s="94" t="s">
        <v>52</v>
      </c>
      <c r="I17">
        <v>7</v>
      </c>
      <c r="L17" s="94" t="s">
        <v>34</v>
      </c>
      <c r="M17" s="119">
        <v>3</v>
      </c>
      <c r="O17" s="93" t="s">
        <v>991</v>
      </c>
      <c r="P17" t="s">
        <v>1005</v>
      </c>
      <c r="Q17" s="94" t="s">
        <v>993</v>
      </c>
    </row>
    <row r="18" spans="1:17" x14ac:dyDescent="0.3">
      <c r="D18" s="94" t="s">
        <v>53</v>
      </c>
      <c r="E18">
        <v>3404</v>
      </c>
      <c r="F18">
        <v>9</v>
      </c>
      <c r="H18" s="94" t="s">
        <v>44</v>
      </c>
      <c r="I18">
        <v>0</v>
      </c>
      <c r="L18" s="94" t="s">
        <v>16</v>
      </c>
      <c r="M18" s="119">
        <v>10</v>
      </c>
      <c r="O18" s="94" t="s">
        <v>40</v>
      </c>
      <c r="P18" s="119">
        <v>14</v>
      </c>
    </row>
    <row r="19" spans="1:17" x14ac:dyDescent="0.3">
      <c r="D19" s="94" t="s">
        <v>36</v>
      </c>
      <c r="E19">
        <v>1959</v>
      </c>
      <c r="F19">
        <v>5</v>
      </c>
      <c r="H19" s="94" t="s">
        <v>49</v>
      </c>
      <c r="I19">
        <v>2</v>
      </c>
      <c r="L19" s="94" t="s">
        <v>38</v>
      </c>
      <c r="M19" s="119">
        <v>6</v>
      </c>
      <c r="O19" s="94" t="s">
        <v>52</v>
      </c>
      <c r="P19" s="119">
        <v>10</v>
      </c>
    </row>
    <row r="20" spans="1:17" x14ac:dyDescent="0.3">
      <c r="D20" s="94" t="s">
        <v>25</v>
      </c>
      <c r="E20">
        <v>1828</v>
      </c>
      <c r="F20">
        <v>7</v>
      </c>
      <c r="H20" s="94" t="s">
        <v>24</v>
      </c>
      <c r="I20">
        <v>0</v>
      </c>
      <c r="L20" s="94" t="s">
        <v>992</v>
      </c>
      <c r="M20" s="119"/>
      <c r="O20" s="94" t="s">
        <v>44</v>
      </c>
      <c r="P20" s="119">
        <v>4.5</v>
      </c>
    </row>
    <row r="21" spans="1:17" x14ac:dyDescent="0.3">
      <c r="D21" s="94" t="s">
        <v>32</v>
      </c>
      <c r="E21">
        <v>10413</v>
      </c>
      <c r="F21">
        <v>39</v>
      </c>
      <c r="H21" s="94" t="s">
        <v>27</v>
      </c>
      <c r="I21">
        <v>5</v>
      </c>
      <c r="L21" s="94" t="s">
        <v>993</v>
      </c>
      <c r="M21" s="119">
        <v>63.5</v>
      </c>
      <c r="O21" s="94" t="s">
        <v>49</v>
      </c>
      <c r="P21" s="119">
        <v>1</v>
      </c>
    </row>
    <row r="22" spans="1:17" x14ac:dyDescent="0.3">
      <c r="D22" s="94" t="s">
        <v>19</v>
      </c>
      <c r="E22">
        <v>3247</v>
      </c>
      <c r="F22">
        <v>5</v>
      </c>
      <c r="H22" s="94" t="s">
        <v>57</v>
      </c>
      <c r="I22">
        <v>1</v>
      </c>
      <c r="O22" s="94" t="s">
        <v>24</v>
      </c>
      <c r="P22" s="119">
        <v>2</v>
      </c>
    </row>
    <row r="23" spans="1:17" x14ac:dyDescent="0.3">
      <c r="D23" s="94" t="s">
        <v>50</v>
      </c>
      <c r="E23">
        <v>1999</v>
      </c>
      <c r="F23">
        <v>7</v>
      </c>
      <c r="H23" s="94" t="s">
        <v>34</v>
      </c>
      <c r="I23">
        <v>3</v>
      </c>
      <c r="L23" s="93" t="s">
        <v>991</v>
      </c>
      <c r="M23" t="s">
        <v>998</v>
      </c>
      <c r="O23" s="94" t="s">
        <v>27</v>
      </c>
      <c r="P23" s="119">
        <v>10</v>
      </c>
    </row>
    <row r="24" spans="1:17" x14ac:dyDescent="0.3">
      <c r="D24" s="94" t="s">
        <v>60</v>
      </c>
      <c r="E24">
        <v>3149</v>
      </c>
      <c r="F24">
        <v>9</v>
      </c>
      <c r="H24" s="94" t="s">
        <v>16</v>
      </c>
      <c r="I24">
        <v>5</v>
      </c>
      <c r="L24" s="94" t="s">
        <v>41</v>
      </c>
      <c r="M24" s="119">
        <v>9</v>
      </c>
      <c r="O24" s="94" t="s">
        <v>57</v>
      </c>
      <c r="P24" s="119">
        <v>3</v>
      </c>
    </row>
    <row r="25" spans="1:17" x14ac:dyDescent="0.3">
      <c r="D25" s="94" t="s">
        <v>42</v>
      </c>
      <c r="E25">
        <v>1479</v>
      </c>
      <c r="F25">
        <v>7</v>
      </c>
      <c r="H25" s="94" t="s">
        <v>38</v>
      </c>
      <c r="I25">
        <v>6</v>
      </c>
      <c r="L25" s="94" t="s">
        <v>35</v>
      </c>
      <c r="M25" s="119">
        <v>3</v>
      </c>
      <c r="O25" s="94" t="s">
        <v>34</v>
      </c>
      <c r="P25" s="119">
        <v>3</v>
      </c>
    </row>
    <row r="26" spans="1:17" x14ac:dyDescent="0.3">
      <c r="D26" s="94" t="s">
        <v>992</v>
      </c>
      <c r="H26" s="94" t="s">
        <v>992</v>
      </c>
      <c r="L26" s="94" t="s">
        <v>59</v>
      </c>
      <c r="M26" s="119">
        <v>2</v>
      </c>
      <c r="O26" s="94" t="s">
        <v>16</v>
      </c>
      <c r="P26" s="119">
        <v>10</v>
      </c>
    </row>
    <row r="27" spans="1:17" x14ac:dyDescent="0.3">
      <c r="D27" s="94" t="s">
        <v>993</v>
      </c>
      <c r="E27">
        <v>37790</v>
      </c>
      <c r="F27">
        <v>135</v>
      </c>
      <c r="H27" s="94" t="s">
        <v>993</v>
      </c>
      <c r="I27">
        <v>30</v>
      </c>
      <c r="L27" s="94" t="s">
        <v>18</v>
      </c>
      <c r="M27" s="119">
        <v>5</v>
      </c>
      <c r="O27" s="94" t="s">
        <v>38</v>
      </c>
      <c r="P27" s="119">
        <v>6</v>
      </c>
    </row>
    <row r="28" spans="1:17" x14ac:dyDescent="0.3">
      <c r="L28" s="94" t="s">
        <v>992</v>
      </c>
      <c r="M28" s="119"/>
      <c r="O28" s="94" t="s">
        <v>992</v>
      </c>
      <c r="P28" s="119"/>
    </row>
    <row r="29" spans="1:17" x14ac:dyDescent="0.3">
      <c r="L29" s="94" t="s">
        <v>993</v>
      </c>
      <c r="M29" s="119">
        <v>19</v>
      </c>
      <c r="O29" s="94" t="s">
        <v>993</v>
      </c>
      <c r="P29" s="119">
        <v>63.5</v>
      </c>
    </row>
  </sheetData>
  <pageMargins left="0.7" right="0.7" top="0.75" bottom="0.75" header="0.3" footer="0.3"/>
  <drawing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0"/>
  <sheetViews>
    <sheetView topLeftCell="A2" zoomScale="115" zoomScaleNormal="115" workbookViewId="0">
      <selection activeCell="D6" sqref="D6"/>
    </sheetView>
  </sheetViews>
  <sheetFormatPr defaultColWidth="11.09765625" defaultRowHeight="15.6" x14ac:dyDescent="0.3"/>
  <cols>
    <col min="2" max="2" width="13" customWidth="1"/>
    <col min="3" max="3" width="14.8984375" bestFit="1" customWidth="1"/>
    <col min="5" max="6" width="13" style="1" customWidth="1"/>
    <col min="7" max="7" width="25.09765625" bestFit="1" customWidth="1"/>
    <col min="8" max="8" width="25.09765625" customWidth="1"/>
    <col min="9" max="9" width="9.09765625" bestFit="1" customWidth="1"/>
    <col min="10" max="10" width="17.09765625" bestFit="1" customWidth="1"/>
    <col min="11" max="11" width="12.69921875" bestFit="1" customWidth="1"/>
    <col min="13" max="13" width="13.09765625" bestFit="1" customWidth="1"/>
    <col min="14" max="14" width="15.69921875" bestFit="1" customWidth="1"/>
    <col min="15" max="15" width="16.796875" bestFit="1" customWidth="1"/>
    <col min="25" max="26" width="23.69921875" bestFit="1" customWidth="1"/>
    <col min="27" max="27" width="17.59765625" customWidth="1"/>
  </cols>
  <sheetData>
    <row r="1" spans="1:15" x14ac:dyDescent="0.3">
      <c r="A1" t="s">
        <v>898</v>
      </c>
      <c r="B1" t="s">
        <v>0</v>
      </c>
      <c r="C1" t="s">
        <v>1</v>
      </c>
      <c r="D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 t="s">
        <v>14</v>
      </c>
      <c r="C2" t="s">
        <v>15</v>
      </c>
      <c r="D2" t="s">
        <v>31</v>
      </c>
      <c r="E2" s="1">
        <v>43194</v>
      </c>
      <c r="F2" s="2">
        <f ca="1">DATEDIF(EmpTable[[#This Row],[Start Date]],TODAY(),"Y")</f>
        <v>7</v>
      </c>
      <c r="G2" t="s">
        <v>16</v>
      </c>
      <c r="H2" t="s">
        <v>17</v>
      </c>
      <c r="I2" t="s">
        <v>18</v>
      </c>
      <c r="J2">
        <v>1560</v>
      </c>
      <c r="K2">
        <v>18720</v>
      </c>
      <c r="L2">
        <v>3</v>
      </c>
      <c r="M2">
        <v>1</v>
      </c>
      <c r="N2">
        <v>0</v>
      </c>
      <c r="O2">
        <v>183</v>
      </c>
    </row>
    <row r="3" spans="1:15" x14ac:dyDescent="0.3">
      <c r="A3">
        <v>2</v>
      </c>
      <c r="B3" t="s">
        <v>19</v>
      </c>
      <c r="C3" t="s">
        <v>20</v>
      </c>
      <c r="D3" t="s">
        <v>31</v>
      </c>
      <c r="E3" s="1">
        <v>43972</v>
      </c>
      <c r="F3" s="2">
        <f ca="1">DATEDIF(EmpTable[[#This Row],[Start Date]],TODAY(),"Y")</f>
        <v>5</v>
      </c>
      <c r="G3" t="s">
        <v>16</v>
      </c>
      <c r="H3" t="s">
        <v>21</v>
      </c>
      <c r="I3" t="s">
        <v>18</v>
      </c>
      <c r="J3">
        <v>3247</v>
      </c>
      <c r="K3">
        <v>38964</v>
      </c>
      <c r="L3">
        <v>1</v>
      </c>
      <c r="M3">
        <v>0</v>
      </c>
      <c r="N3">
        <v>5</v>
      </c>
      <c r="O3">
        <v>198</v>
      </c>
    </row>
    <row r="4" spans="1:15" x14ac:dyDescent="0.3">
      <c r="A4">
        <v>3</v>
      </c>
      <c r="B4" t="s">
        <v>22</v>
      </c>
      <c r="C4" t="s">
        <v>23</v>
      </c>
      <c r="D4" t="s">
        <v>306</v>
      </c>
      <c r="E4" s="1">
        <v>43006</v>
      </c>
      <c r="F4" s="2">
        <f ca="1">DATEDIF(EmpTable[[#This Row],[Start Date]],TODAY(),"Y")</f>
        <v>8</v>
      </c>
      <c r="G4" t="s">
        <v>24</v>
      </c>
      <c r="H4" t="s">
        <v>21</v>
      </c>
      <c r="I4" t="s">
        <v>18</v>
      </c>
      <c r="J4">
        <v>2506</v>
      </c>
      <c r="K4">
        <v>30072</v>
      </c>
      <c r="L4">
        <v>2</v>
      </c>
      <c r="M4">
        <v>0</v>
      </c>
      <c r="N4">
        <v>3</v>
      </c>
      <c r="O4">
        <v>192</v>
      </c>
    </row>
    <row r="5" spans="1:15" x14ac:dyDescent="0.3">
      <c r="A5">
        <v>4</v>
      </c>
      <c r="B5" t="s">
        <v>25</v>
      </c>
      <c r="C5" t="s">
        <v>26</v>
      </c>
      <c r="D5" t="s">
        <v>31</v>
      </c>
      <c r="E5" s="1">
        <v>43326</v>
      </c>
      <c r="F5" s="2">
        <f ca="1">DATEDIF(EmpTable[[#This Row],[Start Date]],TODAY(),"Y")</f>
        <v>7</v>
      </c>
      <c r="G5" t="s">
        <v>27</v>
      </c>
      <c r="H5" t="s">
        <v>28</v>
      </c>
      <c r="I5" t="s">
        <v>41</v>
      </c>
      <c r="J5">
        <v>1828</v>
      </c>
      <c r="K5">
        <v>21936</v>
      </c>
      <c r="L5">
        <v>3</v>
      </c>
      <c r="M5">
        <v>0</v>
      </c>
      <c r="N5">
        <v>0</v>
      </c>
      <c r="O5">
        <v>7</v>
      </c>
    </row>
    <row r="6" spans="1:15" x14ac:dyDescent="0.3">
      <c r="A6">
        <v>5</v>
      </c>
      <c r="B6" t="s">
        <v>29</v>
      </c>
      <c r="C6" t="s">
        <v>30</v>
      </c>
      <c r="D6" t="s">
        <v>31</v>
      </c>
      <c r="E6" s="1">
        <v>43901</v>
      </c>
      <c r="F6" s="2">
        <f ca="1">DATEDIF(EmpTable[[#This Row],[Start Date]],TODAY(),"Y")</f>
        <v>5</v>
      </c>
      <c r="G6" t="s">
        <v>27</v>
      </c>
      <c r="H6" t="s">
        <v>17</v>
      </c>
      <c r="I6" t="s">
        <v>41</v>
      </c>
      <c r="J6">
        <v>970</v>
      </c>
      <c r="K6">
        <v>11640</v>
      </c>
      <c r="L6">
        <v>5</v>
      </c>
      <c r="M6">
        <v>0</v>
      </c>
      <c r="N6">
        <v>5</v>
      </c>
      <c r="O6">
        <v>121</v>
      </c>
    </row>
    <row r="7" spans="1:15" x14ac:dyDescent="0.3">
      <c r="A7">
        <v>6</v>
      </c>
      <c r="B7" t="s">
        <v>32</v>
      </c>
      <c r="C7" t="s">
        <v>33</v>
      </c>
      <c r="D7" t="s">
        <v>31</v>
      </c>
      <c r="E7" s="1">
        <v>42402</v>
      </c>
      <c r="F7" s="2">
        <f ca="1">DATEDIF(EmpTable[[#This Row],[Start Date]],TODAY(),"Y")</f>
        <v>10</v>
      </c>
      <c r="G7" t="s">
        <v>34</v>
      </c>
      <c r="H7" t="s">
        <v>21</v>
      </c>
      <c r="I7" t="s">
        <v>35</v>
      </c>
      <c r="J7">
        <v>2332</v>
      </c>
      <c r="K7">
        <v>27984</v>
      </c>
      <c r="L7">
        <v>3</v>
      </c>
      <c r="M7">
        <v>3</v>
      </c>
      <c r="N7">
        <v>0</v>
      </c>
      <c r="O7">
        <v>8</v>
      </c>
    </row>
    <row r="8" spans="1:15" x14ac:dyDescent="0.3">
      <c r="A8">
        <v>7</v>
      </c>
      <c r="B8" t="s">
        <v>36</v>
      </c>
      <c r="C8" t="s">
        <v>37</v>
      </c>
      <c r="D8" t="s">
        <v>306</v>
      </c>
      <c r="E8" s="1">
        <v>43959</v>
      </c>
      <c r="F8" s="2">
        <f ca="1">DATEDIF(EmpTable[[#This Row],[Start Date]],TODAY(),"Y")</f>
        <v>5</v>
      </c>
      <c r="G8" t="s">
        <v>38</v>
      </c>
      <c r="H8" t="s">
        <v>28</v>
      </c>
      <c r="I8" t="s">
        <v>41</v>
      </c>
      <c r="J8">
        <v>1959</v>
      </c>
      <c r="K8">
        <v>23508</v>
      </c>
      <c r="L8">
        <v>3</v>
      </c>
      <c r="M8">
        <v>6</v>
      </c>
      <c r="N8">
        <v>0</v>
      </c>
      <c r="O8">
        <v>116</v>
      </c>
    </row>
    <row r="9" spans="1:15" x14ac:dyDescent="0.3">
      <c r="A9">
        <v>8</v>
      </c>
      <c r="B9" t="s">
        <v>32</v>
      </c>
      <c r="C9" t="s">
        <v>39</v>
      </c>
      <c r="D9" t="s">
        <v>31</v>
      </c>
      <c r="E9" s="1">
        <v>43141</v>
      </c>
      <c r="F9" s="2">
        <f ca="1">DATEDIF(EmpTable[[#This Row],[Start Date]],TODAY(),"Y")</f>
        <v>8</v>
      </c>
      <c r="G9" t="s">
        <v>40</v>
      </c>
      <c r="H9" t="s">
        <v>17</v>
      </c>
      <c r="I9" t="s">
        <v>41</v>
      </c>
      <c r="J9">
        <v>3394</v>
      </c>
      <c r="K9">
        <v>40728</v>
      </c>
      <c r="L9">
        <v>5</v>
      </c>
      <c r="M9">
        <v>0</v>
      </c>
      <c r="N9">
        <v>0</v>
      </c>
      <c r="O9">
        <v>7</v>
      </c>
    </row>
    <row r="10" spans="1:15" x14ac:dyDescent="0.3">
      <c r="A10">
        <v>9</v>
      </c>
      <c r="B10" t="s">
        <v>42</v>
      </c>
      <c r="C10" t="s">
        <v>43</v>
      </c>
      <c r="D10" t="s">
        <v>306</v>
      </c>
      <c r="E10" s="1">
        <v>43170</v>
      </c>
      <c r="F10" s="2">
        <f ca="1">DATEDIF(EmpTable[[#This Row],[Start Date]],TODAY(),"Y")</f>
        <v>7</v>
      </c>
      <c r="G10" t="s">
        <v>44</v>
      </c>
      <c r="H10" t="s">
        <v>17</v>
      </c>
      <c r="I10" t="s">
        <v>35</v>
      </c>
      <c r="J10">
        <v>1479</v>
      </c>
      <c r="K10">
        <v>17748</v>
      </c>
      <c r="L10">
        <v>4.5</v>
      </c>
      <c r="M10">
        <v>0</v>
      </c>
      <c r="N10">
        <v>0</v>
      </c>
      <c r="O10">
        <v>105</v>
      </c>
    </row>
    <row r="11" spans="1:15" x14ac:dyDescent="0.3">
      <c r="A11">
        <v>10</v>
      </c>
      <c r="B11" t="s">
        <v>32</v>
      </c>
      <c r="C11" t="s">
        <v>45</v>
      </c>
      <c r="D11" t="s">
        <v>31</v>
      </c>
      <c r="E11" s="1">
        <v>43833</v>
      </c>
      <c r="F11" s="2">
        <f ca="1">DATEDIF(EmpTable[[#This Row],[Start Date]],TODAY(),"Y")</f>
        <v>6</v>
      </c>
      <c r="G11" t="s">
        <v>40</v>
      </c>
      <c r="H11" t="s">
        <v>17</v>
      </c>
      <c r="I11" t="s">
        <v>41</v>
      </c>
      <c r="J11">
        <v>1186</v>
      </c>
      <c r="K11">
        <v>14232</v>
      </c>
      <c r="L11">
        <v>4.5</v>
      </c>
      <c r="M11">
        <v>1</v>
      </c>
      <c r="N11">
        <v>0</v>
      </c>
      <c r="O11">
        <v>153</v>
      </c>
    </row>
    <row r="12" spans="1:15" x14ac:dyDescent="0.3">
      <c r="A12">
        <v>11</v>
      </c>
      <c r="B12" t="s">
        <v>32</v>
      </c>
      <c r="C12" t="s">
        <v>46</v>
      </c>
      <c r="D12" t="s">
        <v>31</v>
      </c>
      <c r="E12" s="1">
        <v>43116</v>
      </c>
      <c r="F12" s="2">
        <f ca="1">DATEDIF(EmpTable[[#This Row],[Start Date]],TODAY(),"Y")</f>
        <v>8</v>
      </c>
      <c r="G12" t="s">
        <v>27</v>
      </c>
      <c r="H12" t="s">
        <v>47</v>
      </c>
      <c r="I12" t="s">
        <v>41</v>
      </c>
      <c r="J12">
        <v>1485</v>
      </c>
      <c r="K12">
        <v>17820</v>
      </c>
      <c r="L12">
        <v>2</v>
      </c>
      <c r="M12">
        <v>5</v>
      </c>
      <c r="N12">
        <v>0</v>
      </c>
      <c r="O12">
        <v>12</v>
      </c>
    </row>
    <row r="13" spans="1:15" x14ac:dyDescent="0.3">
      <c r="A13">
        <v>12</v>
      </c>
      <c r="B13" t="s">
        <v>32</v>
      </c>
      <c r="C13" t="s">
        <v>48</v>
      </c>
      <c r="D13" t="s">
        <v>31</v>
      </c>
      <c r="E13" s="1">
        <v>43300</v>
      </c>
      <c r="F13" s="2">
        <f ca="1">DATEDIF(EmpTable[[#This Row],[Start Date]],TODAY(),"Y")</f>
        <v>7</v>
      </c>
      <c r="G13" t="s">
        <v>49</v>
      </c>
      <c r="H13" t="s">
        <v>17</v>
      </c>
      <c r="I13" t="s">
        <v>41</v>
      </c>
      <c r="J13">
        <v>2016</v>
      </c>
      <c r="K13">
        <v>24192</v>
      </c>
      <c r="L13">
        <v>1</v>
      </c>
      <c r="M13">
        <v>2</v>
      </c>
      <c r="N13">
        <v>0</v>
      </c>
      <c r="O13">
        <v>70</v>
      </c>
    </row>
    <row r="14" spans="1:15" x14ac:dyDescent="0.3">
      <c r="A14">
        <v>13</v>
      </c>
      <c r="B14" t="s">
        <v>50</v>
      </c>
      <c r="C14" t="s">
        <v>51</v>
      </c>
      <c r="D14" t="s">
        <v>306</v>
      </c>
      <c r="E14" s="1">
        <v>43415</v>
      </c>
      <c r="F14" s="2">
        <f ca="1">DATEDIF(EmpTable[[#This Row],[Start Date]],TODAY(),"Y")</f>
        <v>7</v>
      </c>
      <c r="G14" t="s">
        <v>52</v>
      </c>
      <c r="H14" t="s">
        <v>17</v>
      </c>
      <c r="I14" t="s">
        <v>41</v>
      </c>
      <c r="J14">
        <v>1999</v>
      </c>
      <c r="K14">
        <v>23988</v>
      </c>
      <c r="L14">
        <v>5</v>
      </c>
      <c r="M14">
        <v>6</v>
      </c>
      <c r="N14">
        <v>0</v>
      </c>
      <c r="O14">
        <v>85</v>
      </c>
    </row>
    <row r="15" spans="1:15" x14ac:dyDescent="0.3">
      <c r="A15">
        <v>14</v>
      </c>
      <c r="B15" t="s">
        <v>53</v>
      </c>
      <c r="C15" t="s">
        <v>54</v>
      </c>
      <c r="D15" t="s">
        <v>306</v>
      </c>
      <c r="E15" s="1">
        <v>42430</v>
      </c>
      <c r="F15" s="2">
        <f ca="1">DATEDIF(EmpTable[[#This Row],[Start Date]],TODAY(),"Y")</f>
        <v>9</v>
      </c>
      <c r="G15" t="s">
        <v>52</v>
      </c>
      <c r="H15" t="s">
        <v>28</v>
      </c>
      <c r="I15" t="s">
        <v>35</v>
      </c>
      <c r="J15">
        <v>3404</v>
      </c>
      <c r="K15">
        <v>40848</v>
      </c>
      <c r="L15">
        <v>5</v>
      </c>
      <c r="M15">
        <v>1</v>
      </c>
      <c r="N15">
        <v>0</v>
      </c>
      <c r="O15">
        <v>8</v>
      </c>
    </row>
    <row r="16" spans="1:15" x14ac:dyDescent="0.3">
      <c r="A16">
        <v>15</v>
      </c>
      <c r="B16" t="s">
        <v>55</v>
      </c>
      <c r="C16" t="s">
        <v>56</v>
      </c>
      <c r="D16" t="s">
        <v>306</v>
      </c>
      <c r="E16" s="1">
        <v>43438</v>
      </c>
      <c r="F16" s="2">
        <f ca="1">DATEDIF(EmpTable[[#This Row],[Start Date]],TODAY(),"Y")</f>
        <v>7</v>
      </c>
      <c r="G16" t="s">
        <v>57</v>
      </c>
      <c r="H16" t="s">
        <v>17</v>
      </c>
      <c r="I16" t="s">
        <v>41</v>
      </c>
      <c r="J16">
        <v>889</v>
      </c>
      <c r="K16">
        <v>10668</v>
      </c>
      <c r="L16">
        <v>3</v>
      </c>
      <c r="M16">
        <v>1</v>
      </c>
      <c r="N16">
        <v>1</v>
      </c>
      <c r="O16">
        <v>8</v>
      </c>
    </row>
    <row r="17" spans="1:15" x14ac:dyDescent="0.3">
      <c r="A17">
        <v>16</v>
      </c>
      <c r="B17" t="s">
        <v>58</v>
      </c>
      <c r="C17" t="s">
        <v>32</v>
      </c>
      <c r="D17" t="s">
        <v>31</v>
      </c>
      <c r="E17" s="1">
        <v>43745</v>
      </c>
      <c r="F17" s="2">
        <f ca="1">DATEDIF(EmpTable[[#This Row],[Start Date]],TODAY(),"Y")</f>
        <v>6</v>
      </c>
      <c r="G17" t="s">
        <v>38</v>
      </c>
      <c r="H17" t="s">
        <v>17</v>
      </c>
      <c r="I17" t="s">
        <v>59</v>
      </c>
      <c r="J17">
        <v>930</v>
      </c>
      <c r="K17">
        <v>11160</v>
      </c>
      <c r="L17">
        <v>3</v>
      </c>
      <c r="M17">
        <v>0</v>
      </c>
      <c r="N17">
        <v>0</v>
      </c>
      <c r="O17">
        <v>77</v>
      </c>
    </row>
    <row r="18" spans="1:15" x14ac:dyDescent="0.3">
      <c r="A18">
        <v>17</v>
      </c>
      <c r="B18" t="s">
        <v>60</v>
      </c>
      <c r="C18" t="s">
        <v>61</v>
      </c>
      <c r="D18" t="s">
        <v>306</v>
      </c>
      <c r="E18" s="1">
        <v>42517</v>
      </c>
      <c r="F18" s="2">
        <f ca="1">DATEDIF(EmpTable[[#This Row],[Start Date]],TODAY(),"Y")</f>
        <v>9</v>
      </c>
      <c r="G18" t="s">
        <v>40</v>
      </c>
      <c r="H18" t="s">
        <v>21</v>
      </c>
      <c r="I18" t="s">
        <v>18</v>
      </c>
      <c r="J18">
        <v>3149</v>
      </c>
      <c r="K18">
        <v>37788</v>
      </c>
      <c r="L18">
        <v>4.5</v>
      </c>
      <c r="M18">
        <v>0</v>
      </c>
      <c r="N18">
        <v>0</v>
      </c>
      <c r="O18">
        <v>93</v>
      </c>
    </row>
    <row r="19" spans="1:15" x14ac:dyDescent="0.3">
      <c r="A19">
        <v>18</v>
      </c>
      <c r="B19" t="s">
        <v>62</v>
      </c>
      <c r="C19" t="s">
        <v>63</v>
      </c>
      <c r="D19" t="s">
        <v>31</v>
      </c>
      <c r="E19" s="1">
        <v>43232</v>
      </c>
      <c r="F19" s="2">
        <f ca="1">DATEDIF(EmpTable[[#This Row],[Start Date]],TODAY(),"Y")</f>
        <v>7</v>
      </c>
      <c r="G19" t="s">
        <v>16</v>
      </c>
      <c r="H19" t="s">
        <v>28</v>
      </c>
      <c r="I19" t="s">
        <v>18</v>
      </c>
      <c r="J19">
        <v>1295</v>
      </c>
      <c r="K19">
        <v>15540</v>
      </c>
      <c r="L19">
        <v>3</v>
      </c>
      <c r="M19">
        <v>4</v>
      </c>
      <c r="N19">
        <v>0</v>
      </c>
      <c r="O19">
        <v>153</v>
      </c>
    </row>
    <row r="20" spans="1:15" x14ac:dyDescent="0.3">
      <c r="A20">
        <v>19</v>
      </c>
      <c r="B20" t="s">
        <v>64</v>
      </c>
      <c r="C20" t="s">
        <v>65</v>
      </c>
      <c r="D20" t="s">
        <v>306</v>
      </c>
      <c r="E20" s="1">
        <v>43214</v>
      </c>
      <c r="F20" s="2">
        <f ca="1">DATEDIF(EmpTable[[#This Row],[Start Date]],TODAY(),"Y")</f>
        <v>7</v>
      </c>
      <c r="G20" t="s">
        <v>16</v>
      </c>
      <c r="H20" t="s">
        <v>28</v>
      </c>
      <c r="I20" t="s">
        <v>59</v>
      </c>
      <c r="J20">
        <v>2162</v>
      </c>
      <c r="K20">
        <v>25944</v>
      </c>
      <c r="L20">
        <v>3</v>
      </c>
      <c r="M20">
        <v>0</v>
      </c>
      <c r="N20">
        <v>0</v>
      </c>
      <c r="O20">
        <v>8</v>
      </c>
    </row>
    <row r="21" spans="1:15" x14ac:dyDescent="0.3">
      <c r="A21">
        <v>20</v>
      </c>
      <c r="B21" t="s">
        <v>66</v>
      </c>
      <c r="C21" t="s">
        <v>67</v>
      </c>
      <c r="D21" t="s">
        <v>31</v>
      </c>
      <c r="E21" s="1">
        <v>43740</v>
      </c>
      <c r="F21" s="2">
        <f ca="1">DATEDIF(EmpTable[[#This Row],[Start Date]],TODAY(),"Y")</f>
        <v>6</v>
      </c>
      <c r="G21" t="s">
        <v>34</v>
      </c>
      <c r="H21" t="s">
        <v>28</v>
      </c>
      <c r="I21" t="s">
        <v>18</v>
      </c>
      <c r="J21">
        <v>2180</v>
      </c>
      <c r="K21">
        <v>26160</v>
      </c>
      <c r="L21">
        <v>2</v>
      </c>
      <c r="M21">
        <v>6</v>
      </c>
      <c r="N21">
        <v>0</v>
      </c>
      <c r="O21">
        <v>10</v>
      </c>
    </row>
    <row r="22" spans="1:15" x14ac:dyDescent="0.3">
      <c r="A22">
        <v>21</v>
      </c>
      <c r="B22" t="s">
        <v>68</v>
      </c>
      <c r="C22" t="s">
        <v>69</v>
      </c>
      <c r="D22" t="s">
        <v>31</v>
      </c>
      <c r="E22" s="1">
        <v>44168</v>
      </c>
      <c r="F22" s="2">
        <f ca="1">DATEDIF(EmpTable[[#This Row],[Start Date]],TODAY(),"Y")</f>
        <v>5</v>
      </c>
      <c r="G22" t="s">
        <v>40</v>
      </c>
      <c r="H22" t="s">
        <v>17</v>
      </c>
      <c r="I22" t="s">
        <v>41</v>
      </c>
      <c r="J22">
        <v>1475</v>
      </c>
      <c r="K22">
        <v>17700</v>
      </c>
      <c r="L22">
        <v>5</v>
      </c>
      <c r="M22">
        <v>0</v>
      </c>
      <c r="N22">
        <v>0</v>
      </c>
      <c r="O22">
        <v>98</v>
      </c>
    </row>
    <row r="23" spans="1:15" x14ac:dyDescent="0.3">
      <c r="A23">
        <v>22</v>
      </c>
      <c r="B23" t="s">
        <v>70</v>
      </c>
      <c r="C23" t="s">
        <v>71</v>
      </c>
      <c r="D23" t="s">
        <v>31</v>
      </c>
      <c r="E23" s="1">
        <v>43473</v>
      </c>
      <c r="F23" s="2">
        <f ca="1">DATEDIF(EmpTable[[#This Row],[Start Date]],TODAY(),"Y")</f>
        <v>7</v>
      </c>
      <c r="G23" t="s">
        <v>72</v>
      </c>
      <c r="H23" t="s">
        <v>17</v>
      </c>
      <c r="I23" t="s">
        <v>41</v>
      </c>
      <c r="J23">
        <v>1290</v>
      </c>
      <c r="K23">
        <v>15480</v>
      </c>
      <c r="L23">
        <v>3</v>
      </c>
      <c r="M23">
        <v>4</v>
      </c>
      <c r="N23">
        <v>0</v>
      </c>
      <c r="O23">
        <v>109</v>
      </c>
    </row>
    <row r="24" spans="1:15" x14ac:dyDescent="0.3">
      <c r="A24">
        <v>23</v>
      </c>
      <c r="B24" t="s">
        <v>73</v>
      </c>
      <c r="C24" t="s">
        <v>74</v>
      </c>
      <c r="D24" t="s">
        <v>31</v>
      </c>
      <c r="E24" s="1">
        <v>43783</v>
      </c>
      <c r="F24" s="2">
        <f ca="1">DATEDIF(EmpTable[[#This Row],[Start Date]],TODAY(),"Y")</f>
        <v>6</v>
      </c>
      <c r="G24" t="s">
        <v>75</v>
      </c>
      <c r="H24" t="s">
        <v>21</v>
      </c>
      <c r="I24" t="s">
        <v>41</v>
      </c>
      <c r="J24">
        <v>1764</v>
      </c>
      <c r="K24">
        <v>21168</v>
      </c>
      <c r="L24">
        <v>3</v>
      </c>
      <c r="M24">
        <v>0</v>
      </c>
      <c r="N24">
        <v>0</v>
      </c>
      <c r="O24">
        <v>111</v>
      </c>
    </row>
    <row r="25" spans="1:15" x14ac:dyDescent="0.3">
      <c r="A25">
        <v>24</v>
      </c>
      <c r="B25" t="s">
        <v>29</v>
      </c>
      <c r="C25" t="s">
        <v>29</v>
      </c>
      <c r="D25" t="s">
        <v>31</v>
      </c>
      <c r="E25" s="1">
        <v>43755</v>
      </c>
      <c r="F25" s="2">
        <f ca="1">DATEDIF(EmpTable[[#This Row],[Start Date]],TODAY(),"Y")</f>
        <v>6</v>
      </c>
      <c r="G25" t="s">
        <v>76</v>
      </c>
      <c r="H25" t="s">
        <v>21</v>
      </c>
      <c r="I25" t="s">
        <v>18</v>
      </c>
      <c r="J25">
        <v>2682</v>
      </c>
      <c r="K25">
        <v>32184</v>
      </c>
      <c r="L25">
        <v>4.5</v>
      </c>
      <c r="M25">
        <v>1</v>
      </c>
      <c r="N25">
        <v>0</v>
      </c>
      <c r="O25">
        <v>32</v>
      </c>
    </row>
    <row r="26" spans="1:15" x14ac:dyDescent="0.3">
      <c r="A26">
        <v>25</v>
      </c>
      <c r="B26" t="s">
        <v>32</v>
      </c>
      <c r="C26" t="s">
        <v>77</v>
      </c>
      <c r="D26" t="s">
        <v>31</v>
      </c>
      <c r="E26" s="1">
        <v>44178</v>
      </c>
      <c r="F26" s="2">
        <f ca="1">DATEDIF(EmpTable[[#This Row],[Start Date]],TODAY(),"Y")</f>
        <v>5</v>
      </c>
      <c r="G26" t="s">
        <v>49</v>
      </c>
      <c r="H26" t="s">
        <v>17</v>
      </c>
      <c r="I26" t="s">
        <v>35</v>
      </c>
      <c r="J26">
        <v>3044</v>
      </c>
      <c r="K26">
        <v>36528</v>
      </c>
      <c r="L26">
        <v>3</v>
      </c>
      <c r="M26">
        <v>6</v>
      </c>
      <c r="N26">
        <v>0</v>
      </c>
      <c r="O26">
        <v>94</v>
      </c>
    </row>
    <row r="27" spans="1:15" x14ac:dyDescent="0.3">
      <c r="A27">
        <v>26</v>
      </c>
      <c r="B27" t="s">
        <v>78</v>
      </c>
      <c r="C27" t="s">
        <v>79</v>
      </c>
      <c r="D27" t="s">
        <v>306</v>
      </c>
      <c r="E27" s="1">
        <v>44045</v>
      </c>
      <c r="F27" s="2">
        <f ca="1">DATEDIF(EmpTable[[#This Row],[Start Date]],TODAY(),"Y")</f>
        <v>5</v>
      </c>
      <c r="G27" t="s">
        <v>34</v>
      </c>
      <c r="H27" t="s">
        <v>17</v>
      </c>
      <c r="I27" t="s">
        <v>41</v>
      </c>
      <c r="J27">
        <v>890</v>
      </c>
      <c r="K27">
        <v>10680</v>
      </c>
      <c r="L27">
        <v>4.5</v>
      </c>
      <c r="M27">
        <v>0</v>
      </c>
      <c r="N27">
        <v>0</v>
      </c>
      <c r="O27">
        <v>13</v>
      </c>
    </row>
    <row r="28" spans="1:15" x14ac:dyDescent="0.3">
      <c r="A28">
        <v>27</v>
      </c>
      <c r="B28" t="s">
        <v>71</v>
      </c>
      <c r="C28" t="s">
        <v>80</v>
      </c>
      <c r="D28" t="s">
        <v>31</v>
      </c>
      <c r="E28" s="1">
        <v>43437</v>
      </c>
      <c r="F28" s="2">
        <f ca="1">DATEDIF(EmpTable[[#This Row],[Start Date]],TODAY(),"Y")</f>
        <v>7</v>
      </c>
      <c r="G28" t="s">
        <v>16</v>
      </c>
      <c r="H28" t="s">
        <v>17</v>
      </c>
      <c r="I28" t="s">
        <v>18</v>
      </c>
      <c r="J28">
        <v>2207</v>
      </c>
      <c r="K28">
        <v>26484</v>
      </c>
      <c r="L28">
        <v>5</v>
      </c>
      <c r="M28">
        <v>0</v>
      </c>
      <c r="N28">
        <v>0</v>
      </c>
      <c r="O28">
        <v>70</v>
      </c>
    </row>
    <row r="29" spans="1:15" x14ac:dyDescent="0.3">
      <c r="A29">
        <v>28</v>
      </c>
      <c r="B29" t="s">
        <v>81</v>
      </c>
      <c r="C29" t="s">
        <v>82</v>
      </c>
      <c r="D29" t="s">
        <v>306</v>
      </c>
      <c r="E29" s="1">
        <v>43530</v>
      </c>
      <c r="F29" s="2">
        <f ca="1">DATEDIF(EmpTable[[#This Row],[Start Date]],TODAY(),"Y")</f>
        <v>6</v>
      </c>
      <c r="G29" t="s">
        <v>27</v>
      </c>
      <c r="H29" t="s">
        <v>21</v>
      </c>
      <c r="I29" t="s">
        <v>18</v>
      </c>
      <c r="J29">
        <v>2136</v>
      </c>
      <c r="K29">
        <v>25632</v>
      </c>
      <c r="L29">
        <v>4.5</v>
      </c>
      <c r="M29">
        <v>1</v>
      </c>
      <c r="N29">
        <v>0</v>
      </c>
      <c r="O29">
        <v>9</v>
      </c>
    </row>
    <row r="30" spans="1:15" x14ac:dyDescent="0.3">
      <c r="A30">
        <v>29</v>
      </c>
      <c r="B30" t="s">
        <v>83</v>
      </c>
      <c r="C30" t="s">
        <v>84</v>
      </c>
      <c r="D30" t="s">
        <v>306</v>
      </c>
      <c r="E30" s="1">
        <v>43815</v>
      </c>
      <c r="F30" s="2">
        <f ca="1">DATEDIF(EmpTable[[#This Row],[Start Date]],TODAY(),"Y")</f>
        <v>6</v>
      </c>
      <c r="G30" t="s">
        <v>16</v>
      </c>
      <c r="H30" t="s">
        <v>17</v>
      </c>
      <c r="I30" t="s">
        <v>41</v>
      </c>
      <c r="J30">
        <v>1161</v>
      </c>
      <c r="K30">
        <v>13932</v>
      </c>
      <c r="L30">
        <v>5</v>
      </c>
      <c r="M30">
        <v>0</v>
      </c>
      <c r="N30">
        <v>1</v>
      </c>
      <c r="O30">
        <v>97</v>
      </c>
    </row>
    <row r="31" spans="1:15" x14ac:dyDescent="0.3">
      <c r="A31">
        <v>30</v>
      </c>
      <c r="B31" t="s">
        <v>85</v>
      </c>
      <c r="C31" t="s">
        <v>86</v>
      </c>
      <c r="D31" t="s">
        <v>31</v>
      </c>
      <c r="E31" s="1">
        <v>43690</v>
      </c>
      <c r="F31" s="2">
        <f ca="1">DATEDIF(EmpTable[[#This Row],[Start Date]],TODAY(),"Y")</f>
        <v>6</v>
      </c>
      <c r="G31" t="s">
        <v>87</v>
      </c>
      <c r="H31" t="s">
        <v>28</v>
      </c>
      <c r="I31" t="s">
        <v>18</v>
      </c>
      <c r="J31">
        <v>830</v>
      </c>
      <c r="K31">
        <v>9960</v>
      </c>
      <c r="L31">
        <v>5</v>
      </c>
      <c r="M31">
        <v>0</v>
      </c>
      <c r="N31">
        <v>0</v>
      </c>
      <c r="O31">
        <v>71</v>
      </c>
    </row>
    <row r="32" spans="1:15" x14ac:dyDescent="0.3">
      <c r="A32">
        <v>31</v>
      </c>
      <c r="B32" t="s">
        <v>88</v>
      </c>
      <c r="C32" t="s">
        <v>89</v>
      </c>
      <c r="D32" t="s">
        <v>306</v>
      </c>
      <c r="E32" s="1">
        <v>43991</v>
      </c>
      <c r="F32" s="2">
        <f ca="1">DATEDIF(EmpTable[[#This Row],[Start Date]],TODAY(),"Y")</f>
        <v>5</v>
      </c>
      <c r="G32" t="s">
        <v>76</v>
      </c>
      <c r="H32" t="s">
        <v>21</v>
      </c>
      <c r="I32" t="s">
        <v>18</v>
      </c>
      <c r="J32">
        <v>2977</v>
      </c>
      <c r="K32">
        <v>35724</v>
      </c>
      <c r="L32">
        <v>5</v>
      </c>
      <c r="M32">
        <v>0</v>
      </c>
      <c r="N32">
        <v>0</v>
      </c>
      <c r="O32">
        <v>100</v>
      </c>
    </row>
    <row r="33" spans="1:15" x14ac:dyDescent="0.3">
      <c r="A33">
        <v>32</v>
      </c>
      <c r="B33" t="s">
        <v>90</v>
      </c>
      <c r="C33" t="s">
        <v>91</v>
      </c>
      <c r="D33" t="s">
        <v>31</v>
      </c>
      <c r="E33" s="1">
        <v>43604</v>
      </c>
      <c r="F33" s="2">
        <f ca="1">DATEDIF(EmpTable[[#This Row],[Start Date]],TODAY(),"Y")</f>
        <v>6</v>
      </c>
      <c r="G33" t="s">
        <v>92</v>
      </c>
      <c r="H33" t="s">
        <v>47</v>
      </c>
      <c r="I33" t="s">
        <v>35</v>
      </c>
      <c r="J33">
        <v>3151</v>
      </c>
      <c r="K33">
        <v>37812</v>
      </c>
      <c r="L33">
        <v>3</v>
      </c>
      <c r="M33">
        <v>0</v>
      </c>
      <c r="N33">
        <v>5</v>
      </c>
      <c r="O33">
        <v>48</v>
      </c>
    </row>
    <row r="34" spans="1:15" x14ac:dyDescent="0.3">
      <c r="A34">
        <v>33</v>
      </c>
      <c r="B34" t="s">
        <v>32</v>
      </c>
      <c r="C34" t="s">
        <v>93</v>
      </c>
      <c r="D34" t="s">
        <v>31</v>
      </c>
      <c r="E34" s="1">
        <v>42858</v>
      </c>
      <c r="F34" s="2">
        <f ca="1">DATEDIF(EmpTable[[#This Row],[Start Date]],TODAY(),"Y")</f>
        <v>8</v>
      </c>
      <c r="G34" t="s">
        <v>76</v>
      </c>
      <c r="H34" t="s">
        <v>17</v>
      </c>
      <c r="I34" t="s">
        <v>35</v>
      </c>
      <c r="J34">
        <v>1551</v>
      </c>
      <c r="K34">
        <v>18612</v>
      </c>
      <c r="L34">
        <v>1</v>
      </c>
      <c r="M34">
        <v>0</v>
      </c>
      <c r="N34">
        <v>0</v>
      </c>
      <c r="O34">
        <v>148</v>
      </c>
    </row>
    <row r="35" spans="1:15" x14ac:dyDescent="0.3">
      <c r="A35">
        <v>34</v>
      </c>
      <c r="B35" t="s">
        <v>94</v>
      </c>
      <c r="C35" t="s">
        <v>95</v>
      </c>
      <c r="D35" t="s">
        <v>31</v>
      </c>
      <c r="E35" s="1">
        <v>42907</v>
      </c>
      <c r="F35" s="2">
        <f ca="1">DATEDIF(EmpTable[[#This Row],[Start Date]],TODAY(),"Y")</f>
        <v>8</v>
      </c>
      <c r="G35" t="s">
        <v>34</v>
      </c>
      <c r="H35" t="s">
        <v>28</v>
      </c>
      <c r="I35" t="s">
        <v>59</v>
      </c>
      <c r="J35">
        <v>2099</v>
      </c>
      <c r="K35">
        <v>25188</v>
      </c>
      <c r="L35">
        <v>1</v>
      </c>
      <c r="M35">
        <v>0</v>
      </c>
      <c r="N35">
        <v>0</v>
      </c>
      <c r="O35">
        <v>5</v>
      </c>
    </row>
    <row r="36" spans="1:15" x14ac:dyDescent="0.3">
      <c r="A36">
        <v>35</v>
      </c>
      <c r="B36" t="s">
        <v>29</v>
      </c>
      <c r="C36" t="s">
        <v>96</v>
      </c>
      <c r="D36" t="s">
        <v>31</v>
      </c>
      <c r="E36" s="1">
        <v>42767</v>
      </c>
      <c r="F36" s="2">
        <f ca="1">DATEDIF(EmpTable[[#This Row],[Start Date]],TODAY(),"Y")</f>
        <v>9</v>
      </c>
      <c r="G36" t="s">
        <v>38</v>
      </c>
      <c r="H36" t="s">
        <v>17</v>
      </c>
      <c r="I36" t="s">
        <v>35</v>
      </c>
      <c r="J36">
        <v>808</v>
      </c>
      <c r="K36">
        <v>9696</v>
      </c>
      <c r="L36">
        <v>4.5</v>
      </c>
      <c r="M36">
        <v>1</v>
      </c>
      <c r="N36">
        <v>0</v>
      </c>
      <c r="O36">
        <v>7</v>
      </c>
    </row>
    <row r="37" spans="1:15" x14ac:dyDescent="0.3">
      <c r="A37">
        <v>36</v>
      </c>
      <c r="B37" t="s">
        <v>32</v>
      </c>
      <c r="C37" t="s">
        <v>97</v>
      </c>
      <c r="D37" t="s">
        <v>31</v>
      </c>
      <c r="E37" s="1">
        <v>43731</v>
      </c>
      <c r="F37" s="2">
        <f ca="1">DATEDIF(EmpTable[[#This Row],[Start Date]],TODAY(),"Y")</f>
        <v>6</v>
      </c>
      <c r="G37" t="s">
        <v>27</v>
      </c>
      <c r="H37" t="s">
        <v>21</v>
      </c>
      <c r="I37" t="s">
        <v>41</v>
      </c>
      <c r="J37">
        <v>984</v>
      </c>
      <c r="K37">
        <v>11808</v>
      </c>
      <c r="L37">
        <v>4.5</v>
      </c>
      <c r="M37">
        <v>6</v>
      </c>
      <c r="N37">
        <v>0</v>
      </c>
      <c r="O37">
        <v>37</v>
      </c>
    </row>
    <row r="38" spans="1:15" x14ac:dyDescent="0.3">
      <c r="A38">
        <v>37</v>
      </c>
      <c r="B38" t="s">
        <v>98</v>
      </c>
      <c r="C38" t="s">
        <v>99</v>
      </c>
      <c r="D38" t="s">
        <v>306</v>
      </c>
      <c r="E38" s="1">
        <v>42396</v>
      </c>
      <c r="F38" s="2">
        <f ca="1">DATEDIF(EmpTable[[#This Row],[Start Date]],TODAY(),"Y")</f>
        <v>10</v>
      </c>
      <c r="G38" t="s">
        <v>76</v>
      </c>
      <c r="H38" t="s">
        <v>17</v>
      </c>
      <c r="I38" t="s">
        <v>35</v>
      </c>
      <c r="J38">
        <v>1011</v>
      </c>
      <c r="K38">
        <v>12132</v>
      </c>
      <c r="L38">
        <v>5</v>
      </c>
      <c r="M38">
        <v>0</v>
      </c>
      <c r="N38">
        <v>3</v>
      </c>
      <c r="O38">
        <v>5</v>
      </c>
    </row>
    <row r="39" spans="1:15" x14ac:dyDescent="0.3">
      <c r="A39">
        <v>38</v>
      </c>
      <c r="B39" t="s">
        <v>100</v>
      </c>
      <c r="C39" t="s">
        <v>101</v>
      </c>
      <c r="D39" t="s">
        <v>306</v>
      </c>
      <c r="E39" s="1">
        <v>44164</v>
      </c>
      <c r="F39" s="2">
        <f ca="1">DATEDIF(EmpTable[[#This Row],[Start Date]],TODAY(),"Y")</f>
        <v>5</v>
      </c>
      <c r="G39" t="s">
        <v>16</v>
      </c>
      <c r="H39" t="s">
        <v>28</v>
      </c>
      <c r="I39" t="s">
        <v>18</v>
      </c>
      <c r="J39">
        <v>2026</v>
      </c>
      <c r="K39">
        <v>24312</v>
      </c>
      <c r="L39">
        <v>5</v>
      </c>
      <c r="M39">
        <v>1</v>
      </c>
      <c r="N39">
        <v>0</v>
      </c>
      <c r="O39">
        <v>3</v>
      </c>
    </row>
    <row r="40" spans="1:15" x14ac:dyDescent="0.3">
      <c r="A40">
        <v>39</v>
      </c>
      <c r="B40" t="s">
        <v>102</v>
      </c>
      <c r="C40" t="s">
        <v>103</v>
      </c>
      <c r="D40" t="s">
        <v>31</v>
      </c>
      <c r="E40" s="1">
        <v>43268</v>
      </c>
      <c r="F40" s="2">
        <f ca="1">DATEDIF(EmpTable[[#This Row],[Start Date]],TODAY(),"Y")</f>
        <v>7</v>
      </c>
      <c r="G40" t="s">
        <v>16</v>
      </c>
      <c r="H40" t="s">
        <v>17</v>
      </c>
      <c r="I40" t="s">
        <v>41</v>
      </c>
      <c r="J40">
        <v>2801</v>
      </c>
      <c r="K40">
        <v>33612</v>
      </c>
      <c r="L40">
        <v>3</v>
      </c>
      <c r="M40">
        <v>0</v>
      </c>
      <c r="N40">
        <v>0</v>
      </c>
      <c r="O40">
        <v>9</v>
      </c>
    </row>
    <row r="41" spans="1:15" x14ac:dyDescent="0.3">
      <c r="A41">
        <v>40</v>
      </c>
      <c r="B41" t="s">
        <v>104</v>
      </c>
      <c r="C41" t="s">
        <v>105</v>
      </c>
      <c r="D41" t="s">
        <v>31</v>
      </c>
      <c r="E41" s="1">
        <v>43722</v>
      </c>
      <c r="F41" s="2">
        <f ca="1">DATEDIF(EmpTable[[#This Row],[Start Date]],TODAY(),"Y")</f>
        <v>6</v>
      </c>
      <c r="G41" t="s">
        <v>57</v>
      </c>
      <c r="H41" t="s">
        <v>28</v>
      </c>
      <c r="I41" t="s">
        <v>41</v>
      </c>
      <c r="J41">
        <v>3208</v>
      </c>
      <c r="K41">
        <v>38496</v>
      </c>
      <c r="L41">
        <v>3</v>
      </c>
      <c r="M41">
        <v>0</v>
      </c>
      <c r="N41">
        <v>0</v>
      </c>
      <c r="O41">
        <v>0</v>
      </c>
    </row>
    <row r="42" spans="1:15" x14ac:dyDescent="0.3">
      <c r="A42">
        <v>41</v>
      </c>
      <c r="B42" t="s">
        <v>66</v>
      </c>
      <c r="C42" t="s">
        <v>106</v>
      </c>
      <c r="D42" t="s">
        <v>31</v>
      </c>
      <c r="E42" s="1">
        <v>43581</v>
      </c>
      <c r="F42" s="2">
        <f ca="1">DATEDIF(EmpTable[[#This Row],[Start Date]],TODAY(),"Y")</f>
        <v>6</v>
      </c>
      <c r="G42" t="s">
        <v>27</v>
      </c>
      <c r="H42" t="s">
        <v>21</v>
      </c>
      <c r="I42" t="s">
        <v>59</v>
      </c>
      <c r="J42">
        <v>2129</v>
      </c>
      <c r="K42">
        <v>25548</v>
      </c>
      <c r="L42">
        <v>4.5</v>
      </c>
      <c r="M42">
        <v>0</v>
      </c>
      <c r="N42">
        <v>0</v>
      </c>
      <c r="O42">
        <v>26</v>
      </c>
    </row>
    <row r="43" spans="1:15" x14ac:dyDescent="0.3">
      <c r="A43">
        <v>42</v>
      </c>
      <c r="B43" t="s">
        <v>107</v>
      </c>
      <c r="C43" t="s">
        <v>108</v>
      </c>
      <c r="D43" t="s">
        <v>31</v>
      </c>
      <c r="E43" s="1">
        <v>44175</v>
      </c>
      <c r="F43" s="2">
        <f ca="1">DATEDIF(EmpTable[[#This Row],[Start Date]],TODAY(),"Y")</f>
        <v>5</v>
      </c>
      <c r="G43" t="s">
        <v>52</v>
      </c>
      <c r="H43" t="s">
        <v>17</v>
      </c>
      <c r="I43" t="s">
        <v>35</v>
      </c>
      <c r="J43">
        <v>3344</v>
      </c>
      <c r="K43">
        <v>40128</v>
      </c>
      <c r="L43">
        <v>5</v>
      </c>
      <c r="M43">
        <v>0</v>
      </c>
      <c r="N43">
        <v>0</v>
      </c>
      <c r="O43">
        <v>7</v>
      </c>
    </row>
    <row r="44" spans="1:15" x14ac:dyDescent="0.3">
      <c r="A44">
        <v>43</v>
      </c>
      <c r="B44" t="s">
        <v>65</v>
      </c>
      <c r="C44" t="s">
        <v>109</v>
      </c>
      <c r="D44" t="s">
        <v>31</v>
      </c>
      <c r="E44" s="1">
        <v>42916</v>
      </c>
      <c r="F44" s="2">
        <f ca="1">DATEDIF(EmpTable[[#This Row],[Start Date]],TODAY(),"Y")</f>
        <v>8</v>
      </c>
      <c r="G44" t="s">
        <v>40</v>
      </c>
      <c r="H44" t="s">
        <v>28</v>
      </c>
      <c r="I44" t="s">
        <v>41</v>
      </c>
      <c r="J44">
        <v>2836</v>
      </c>
      <c r="K44">
        <v>34032</v>
      </c>
      <c r="L44">
        <v>5</v>
      </c>
      <c r="M44">
        <v>0</v>
      </c>
      <c r="N44">
        <v>0</v>
      </c>
      <c r="O44">
        <v>14</v>
      </c>
    </row>
    <row r="45" spans="1:15" x14ac:dyDescent="0.3">
      <c r="A45">
        <v>44</v>
      </c>
      <c r="B45" t="s">
        <v>110</v>
      </c>
      <c r="C45" t="s">
        <v>111</v>
      </c>
      <c r="D45" t="s">
        <v>31</v>
      </c>
      <c r="E45" s="1">
        <v>43954</v>
      </c>
      <c r="F45" s="2">
        <f ca="1">DATEDIF(EmpTable[[#This Row],[Start Date]],TODAY(),"Y")</f>
        <v>5</v>
      </c>
      <c r="G45" t="s">
        <v>16</v>
      </c>
      <c r="H45" t="s">
        <v>21</v>
      </c>
      <c r="I45" t="s">
        <v>41</v>
      </c>
      <c r="J45">
        <v>1960</v>
      </c>
      <c r="K45">
        <v>23520</v>
      </c>
      <c r="L45">
        <v>3</v>
      </c>
      <c r="M45">
        <v>0</v>
      </c>
      <c r="N45">
        <v>0</v>
      </c>
      <c r="O45">
        <v>9</v>
      </c>
    </row>
    <row r="46" spans="1:15" x14ac:dyDescent="0.3">
      <c r="A46">
        <v>45</v>
      </c>
      <c r="B46" t="s">
        <v>29</v>
      </c>
      <c r="C46" t="s">
        <v>112</v>
      </c>
      <c r="D46" t="s">
        <v>31</v>
      </c>
      <c r="E46" s="1">
        <v>42701</v>
      </c>
      <c r="F46" s="2">
        <f ca="1">DATEDIF(EmpTable[[#This Row],[Start Date]],TODAY(),"Y")</f>
        <v>9</v>
      </c>
      <c r="G46" t="s">
        <v>52</v>
      </c>
      <c r="H46" t="s">
        <v>17</v>
      </c>
      <c r="I46" t="s">
        <v>41</v>
      </c>
      <c r="J46">
        <v>1478</v>
      </c>
      <c r="K46">
        <v>17736</v>
      </c>
      <c r="L46">
        <v>4.5</v>
      </c>
      <c r="M46">
        <v>5</v>
      </c>
      <c r="N46">
        <v>6</v>
      </c>
      <c r="O46">
        <v>7</v>
      </c>
    </row>
    <row r="47" spans="1:15" x14ac:dyDescent="0.3">
      <c r="A47">
        <v>46</v>
      </c>
      <c r="B47" t="s">
        <v>113</v>
      </c>
      <c r="C47" t="s">
        <v>114</v>
      </c>
      <c r="D47" t="s">
        <v>306</v>
      </c>
      <c r="E47" s="1">
        <v>43817</v>
      </c>
      <c r="F47" s="2">
        <f ca="1">DATEDIF(EmpTable[[#This Row],[Start Date]],TODAY(),"Y")</f>
        <v>6</v>
      </c>
      <c r="G47" t="s">
        <v>57</v>
      </c>
      <c r="H47" t="s">
        <v>28</v>
      </c>
      <c r="I47" t="s">
        <v>35</v>
      </c>
      <c r="J47">
        <v>1981</v>
      </c>
      <c r="K47">
        <v>23772</v>
      </c>
      <c r="L47">
        <v>2</v>
      </c>
      <c r="M47">
        <v>0</v>
      </c>
      <c r="N47">
        <v>0</v>
      </c>
      <c r="O47">
        <v>3</v>
      </c>
    </row>
    <row r="48" spans="1:15" x14ac:dyDescent="0.3">
      <c r="A48">
        <v>47</v>
      </c>
      <c r="B48" t="s">
        <v>115</v>
      </c>
      <c r="C48" t="s">
        <v>116</v>
      </c>
      <c r="D48" t="s">
        <v>31</v>
      </c>
      <c r="E48" s="1">
        <v>43572</v>
      </c>
      <c r="F48" s="2">
        <f ca="1">DATEDIF(EmpTable[[#This Row],[Start Date]],TODAY(),"Y")</f>
        <v>6</v>
      </c>
      <c r="G48" t="s">
        <v>117</v>
      </c>
      <c r="H48" t="s">
        <v>28</v>
      </c>
      <c r="I48" t="s">
        <v>41</v>
      </c>
      <c r="J48">
        <v>2064</v>
      </c>
      <c r="K48">
        <v>24768</v>
      </c>
      <c r="L48">
        <v>2</v>
      </c>
      <c r="M48">
        <v>0</v>
      </c>
      <c r="N48">
        <v>0</v>
      </c>
      <c r="O48">
        <v>0</v>
      </c>
    </row>
    <row r="49" spans="1:15" x14ac:dyDescent="0.3">
      <c r="A49">
        <v>48</v>
      </c>
      <c r="B49" t="s">
        <v>118</v>
      </c>
      <c r="C49" t="s">
        <v>119</v>
      </c>
      <c r="D49" t="s">
        <v>306</v>
      </c>
      <c r="E49" s="1">
        <v>42438</v>
      </c>
      <c r="F49" s="2">
        <f ca="1">DATEDIF(EmpTable[[#This Row],[Start Date]],TODAY(),"Y")</f>
        <v>9</v>
      </c>
      <c r="G49" t="s">
        <v>27</v>
      </c>
      <c r="H49" t="s">
        <v>17</v>
      </c>
      <c r="I49" t="s">
        <v>41</v>
      </c>
      <c r="J49">
        <v>1045</v>
      </c>
      <c r="K49">
        <v>12540</v>
      </c>
      <c r="L49">
        <v>5</v>
      </c>
      <c r="M49">
        <v>1</v>
      </c>
      <c r="N49">
        <v>0</v>
      </c>
      <c r="O49">
        <v>3</v>
      </c>
    </row>
    <row r="50" spans="1:15" x14ac:dyDescent="0.3">
      <c r="A50">
        <v>49</v>
      </c>
      <c r="B50" t="s">
        <v>120</v>
      </c>
      <c r="C50" t="s">
        <v>106</v>
      </c>
      <c r="D50" t="s">
        <v>306</v>
      </c>
      <c r="E50" s="1">
        <v>43957</v>
      </c>
      <c r="F50" s="2">
        <f ca="1">DATEDIF(EmpTable[[#This Row],[Start Date]],TODAY(),"Y")</f>
        <v>5</v>
      </c>
      <c r="G50" t="s">
        <v>27</v>
      </c>
      <c r="H50" t="s">
        <v>17</v>
      </c>
      <c r="I50" t="s">
        <v>18</v>
      </c>
      <c r="J50">
        <v>2022</v>
      </c>
      <c r="K50">
        <v>24264</v>
      </c>
      <c r="L50">
        <v>3</v>
      </c>
      <c r="M50">
        <v>0</v>
      </c>
      <c r="N50">
        <v>0</v>
      </c>
      <c r="O50">
        <v>1</v>
      </c>
    </row>
    <row r="51" spans="1:15" x14ac:dyDescent="0.3">
      <c r="A51">
        <v>50</v>
      </c>
      <c r="B51" t="s">
        <v>121</v>
      </c>
      <c r="C51" t="s">
        <v>122</v>
      </c>
      <c r="D51" t="s">
        <v>306</v>
      </c>
      <c r="E51" s="1">
        <v>43759</v>
      </c>
      <c r="F51" s="2">
        <f ca="1">DATEDIF(EmpTable[[#This Row],[Start Date]],TODAY(),"Y")</f>
        <v>6</v>
      </c>
      <c r="G51" t="s">
        <v>76</v>
      </c>
      <c r="H51" t="s">
        <v>17</v>
      </c>
      <c r="I51" t="s">
        <v>35</v>
      </c>
      <c r="J51">
        <v>2383</v>
      </c>
      <c r="K51">
        <v>28596</v>
      </c>
      <c r="L51">
        <v>5</v>
      </c>
      <c r="M51">
        <v>0</v>
      </c>
      <c r="N51">
        <v>4</v>
      </c>
      <c r="O51">
        <v>1</v>
      </c>
    </row>
    <row r="52" spans="1:15" x14ac:dyDescent="0.3">
      <c r="A52">
        <v>51</v>
      </c>
      <c r="B52" t="s">
        <v>123</v>
      </c>
      <c r="C52" t="s">
        <v>32</v>
      </c>
      <c r="D52" t="s">
        <v>31</v>
      </c>
      <c r="E52" s="1">
        <v>43403</v>
      </c>
      <c r="F52" s="2">
        <f ca="1">DATEDIF(EmpTable[[#This Row],[Start Date]],TODAY(),"Y")</f>
        <v>7</v>
      </c>
      <c r="G52" t="s">
        <v>27</v>
      </c>
      <c r="H52" t="s">
        <v>17</v>
      </c>
      <c r="I52" t="s">
        <v>18</v>
      </c>
      <c r="J52">
        <v>1563</v>
      </c>
      <c r="K52">
        <v>18756</v>
      </c>
      <c r="L52">
        <v>3</v>
      </c>
      <c r="M52">
        <v>3</v>
      </c>
      <c r="N52">
        <v>0</v>
      </c>
      <c r="O52">
        <v>1</v>
      </c>
    </row>
    <row r="53" spans="1:15" x14ac:dyDescent="0.3">
      <c r="A53">
        <v>52</v>
      </c>
      <c r="B53" t="s">
        <v>124</v>
      </c>
      <c r="C53" t="s">
        <v>125</v>
      </c>
      <c r="D53" t="s">
        <v>31</v>
      </c>
      <c r="E53" s="1">
        <v>43699</v>
      </c>
      <c r="F53" s="2">
        <f ca="1">DATEDIF(EmpTable[[#This Row],[Start Date]],TODAY(),"Y")</f>
        <v>6</v>
      </c>
      <c r="G53" t="s">
        <v>38</v>
      </c>
      <c r="H53" t="s">
        <v>21</v>
      </c>
      <c r="I53" t="s">
        <v>18</v>
      </c>
      <c r="J53">
        <v>919</v>
      </c>
      <c r="K53">
        <v>11028</v>
      </c>
      <c r="L53">
        <v>2</v>
      </c>
      <c r="M53">
        <v>0</v>
      </c>
      <c r="N53">
        <v>0</v>
      </c>
      <c r="O53">
        <v>10</v>
      </c>
    </row>
    <row r="54" spans="1:15" x14ac:dyDescent="0.3">
      <c r="A54">
        <v>53</v>
      </c>
      <c r="B54" t="s">
        <v>126</v>
      </c>
      <c r="C54" t="s">
        <v>127</v>
      </c>
      <c r="D54" t="s">
        <v>31</v>
      </c>
      <c r="E54" s="1">
        <v>44127</v>
      </c>
      <c r="F54" s="2">
        <f ca="1">DATEDIF(EmpTable[[#This Row],[Start Date]],TODAY(),"Y")</f>
        <v>5</v>
      </c>
      <c r="G54" t="s">
        <v>76</v>
      </c>
      <c r="H54" t="s">
        <v>17</v>
      </c>
      <c r="I54" t="s">
        <v>41</v>
      </c>
      <c r="J54">
        <v>988</v>
      </c>
      <c r="K54">
        <v>11856</v>
      </c>
      <c r="L54">
        <v>5</v>
      </c>
      <c r="M54">
        <v>0</v>
      </c>
      <c r="N54">
        <v>0</v>
      </c>
      <c r="O54">
        <v>5</v>
      </c>
    </row>
    <row r="55" spans="1:15" x14ac:dyDescent="0.3">
      <c r="A55">
        <v>54</v>
      </c>
      <c r="B55" t="s">
        <v>128</v>
      </c>
      <c r="C55" t="s">
        <v>129</v>
      </c>
      <c r="D55" t="s">
        <v>31</v>
      </c>
      <c r="E55" s="1">
        <v>43498</v>
      </c>
      <c r="F55" s="2">
        <f ca="1">DATEDIF(EmpTable[[#This Row],[Start Date]],TODAY(),"Y")</f>
        <v>7</v>
      </c>
      <c r="G55" t="s">
        <v>76</v>
      </c>
      <c r="H55" t="s">
        <v>28</v>
      </c>
      <c r="I55" t="s">
        <v>35</v>
      </c>
      <c r="J55">
        <v>2631</v>
      </c>
      <c r="K55">
        <v>31572</v>
      </c>
      <c r="L55">
        <v>3</v>
      </c>
      <c r="M55">
        <v>3</v>
      </c>
      <c r="N55">
        <v>6</v>
      </c>
      <c r="O55">
        <v>10</v>
      </c>
    </row>
    <row r="56" spans="1:15" x14ac:dyDescent="0.3">
      <c r="A56">
        <v>55</v>
      </c>
      <c r="B56" t="s">
        <v>130</v>
      </c>
      <c r="C56" t="s">
        <v>131</v>
      </c>
      <c r="D56" t="s">
        <v>31</v>
      </c>
      <c r="E56" s="1">
        <v>42629</v>
      </c>
      <c r="F56" s="2">
        <f ca="1">DATEDIF(EmpTable[[#This Row],[Start Date]],TODAY(),"Y")</f>
        <v>9</v>
      </c>
      <c r="G56" t="s">
        <v>16</v>
      </c>
      <c r="H56" t="s">
        <v>17</v>
      </c>
      <c r="I56" t="s">
        <v>35</v>
      </c>
      <c r="J56">
        <v>2368</v>
      </c>
      <c r="K56">
        <v>28416</v>
      </c>
      <c r="L56">
        <v>3</v>
      </c>
      <c r="M56">
        <v>6</v>
      </c>
      <c r="N56">
        <v>0</v>
      </c>
      <c r="O56">
        <v>5</v>
      </c>
    </row>
    <row r="57" spans="1:15" x14ac:dyDescent="0.3">
      <c r="A57">
        <v>56</v>
      </c>
      <c r="B57" t="s">
        <v>132</v>
      </c>
      <c r="C57" t="s">
        <v>133</v>
      </c>
      <c r="D57" t="s">
        <v>31</v>
      </c>
      <c r="E57" s="1">
        <v>43173</v>
      </c>
      <c r="F57" s="2">
        <f ca="1">DATEDIF(EmpTable[[#This Row],[Start Date]],TODAY(),"Y")</f>
        <v>7</v>
      </c>
      <c r="G57" t="s">
        <v>38</v>
      </c>
      <c r="H57" t="s">
        <v>17</v>
      </c>
      <c r="I57" t="s">
        <v>59</v>
      </c>
      <c r="J57">
        <v>2679</v>
      </c>
      <c r="K57">
        <v>32148</v>
      </c>
      <c r="L57">
        <v>3</v>
      </c>
      <c r="M57">
        <v>3</v>
      </c>
      <c r="N57">
        <v>0</v>
      </c>
      <c r="O57">
        <v>85</v>
      </c>
    </row>
    <row r="58" spans="1:15" x14ac:dyDescent="0.3">
      <c r="A58">
        <v>57</v>
      </c>
      <c r="B58" t="s">
        <v>134</v>
      </c>
      <c r="C58" t="s">
        <v>135</v>
      </c>
      <c r="D58" t="s">
        <v>306</v>
      </c>
      <c r="E58" s="1">
        <v>43540</v>
      </c>
      <c r="F58" s="2">
        <f ca="1">DATEDIF(EmpTable[[#This Row],[Start Date]],TODAY(),"Y")</f>
        <v>6</v>
      </c>
      <c r="G58" t="s">
        <v>40</v>
      </c>
      <c r="H58" t="s">
        <v>17</v>
      </c>
      <c r="I58" t="s">
        <v>41</v>
      </c>
      <c r="J58">
        <v>2423</v>
      </c>
      <c r="K58">
        <v>29076</v>
      </c>
      <c r="L58">
        <v>3</v>
      </c>
      <c r="M58">
        <v>5</v>
      </c>
      <c r="N58">
        <v>0</v>
      </c>
      <c r="O58">
        <v>10</v>
      </c>
    </row>
    <row r="59" spans="1:15" x14ac:dyDescent="0.3">
      <c r="A59">
        <v>58</v>
      </c>
      <c r="B59" t="s">
        <v>136</v>
      </c>
      <c r="C59" t="s">
        <v>137</v>
      </c>
      <c r="D59" t="s">
        <v>306</v>
      </c>
      <c r="E59" s="1">
        <v>43849</v>
      </c>
      <c r="F59" s="2">
        <f ca="1">DATEDIF(EmpTable[[#This Row],[Start Date]],TODAY(),"Y")</f>
        <v>6</v>
      </c>
      <c r="G59" t="s">
        <v>76</v>
      </c>
      <c r="H59" t="s">
        <v>17</v>
      </c>
      <c r="I59" t="s">
        <v>18</v>
      </c>
      <c r="J59">
        <v>2115</v>
      </c>
      <c r="K59">
        <v>25380</v>
      </c>
      <c r="L59">
        <v>5</v>
      </c>
      <c r="M59">
        <v>0</v>
      </c>
      <c r="N59">
        <v>0</v>
      </c>
      <c r="O59">
        <v>0</v>
      </c>
    </row>
    <row r="60" spans="1:15" x14ac:dyDescent="0.3">
      <c r="A60">
        <v>59</v>
      </c>
      <c r="B60" t="s">
        <v>138</v>
      </c>
      <c r="C60" t="s">
        <v>139</v>
      </c>
      <c r="D60" t="s">
        <v>306</v>
      </c>
      <c r="E60" s="1">
        <v>43576</v>
      </c>
      <c r="F60" s="2">
        <f ca="1">DATEDIF(EmpTable[[#This Row],[Start Date]],TODAY(),"Y")</f>
        <v>6</v>
      </c>
      <c r="G60" t="s">
        <v>34</v>
      </c>
      <c r="H60" t="s">
        <v>28</v>
      </c>
      <c r="I60" t="s">
        <v>35</v>
      </c>
      <c r="J60">
        <v>2969</v>
      </c>
      <c r="K60">
        <v>35628</v>
      </c>
      <c r="L60">
        <v>1</v>
      </c>
      <c r="M60">
        <v>0</v>
      </c>
      <c r="N60">
        <v>0</v>
      </c>
      <c r="O60">
        <v>11</v>
      </c>
    </row>
    <row r="61" spans="1:15" x14ac:dyDescent="0.3">
      <c r="A61">
        <v>60</v>
      </c>
      <c r="B61" t="s">
        <v>32</v>
      </c>
      <c r="C61" t="s">
        <v>140</v>
      </c>
      <c r="D61" t="s">
        <v>31</v>
      </c>
      <c r="E61" s="1">
        <v>43665</v>
      </c>
      <c r="F61" s="2">
        <f ca="1">DATEDIF(EmpTable[[#This Row],[Start Date]],TODAY(),"Y")</f>
        <v>6</v>
      </c>
      <c r="G61" t="s">
        <v>75</v>
      </c>
      <c r="H61" t="s">
        <v>17</v>
      </c>
      <c r="I61" t="s">
        <v>35</v>
      </c>
      <c r="J61">
        <v>2467</v>
      </c>
      <c r="K61">
        <v>29604</v>
      </c>
      <c r="L61">
        <v>3</v>
      </c>
      <c r="M61">
        <v>0</v>
      </c>
      <c r="N61">
        <v>0</v>
      </c>
      <c r="O61">
        <v>7</v>
      </c>
    </row>
    <row r="62" spans="1:15" x14ac:dyDescent="0.3">
      <c r="A62">
        <v>61</v>
      </c>
      <c r="B62" t="s">
        <v>88</v>
      </c>
      <c r="C62" t="s">
        <v>141</v>
      </c>
      <c r="D62" t="s">
        <v>306</v>
      </c>
      <c r="E62" s="1">
        <v>43582</v>
      </c>
      <c r="F62" s="2">
        <f ca="1">DATEDIF(EmpTable[[#This Row],[Start Date]],TODAY(),"Y")</f>
        <v>6</v>
      </c>
      <c r="G62" t="s">
        <v>52</v>
      </c>
      <c r="H62" t="s">
        <v>17</v>
      </c>
      <c r="I62" t="s">
        <v>41</v>
      </c>
      <c r="J62">
        <v>3244</v>
      </c>
      <c r="K62">
        <v>38928</v>
      </c>
      <c r="L62">
        <v>3</v>
      </c>
      <c r="M62">
        <v>0</v>
      </c>
      <c r="N62">
        <v>0</v>
      </c>
      <c r="O62">
        <v>10</v>
      </c>
    </row>
    <row r="63" spans="1:15" x14ac:dyDescent="0.3">
      <c r="A63">
        <v>62</v>
      </c>
      <c r="B63" t="s">
        <v>32</v>
      </c>
      <c r="C63" t="s">
        <v>142</v>
      </c>
      <c r="D63" t="s">
        <v>31</v>
      </c>
      <c r="E63" s="1">
        <v>43439</v>
      </c>
      <c r="F63" s="2">
        <f ca="1">DATEDIF(EmpTable[[#This Row],[Start Date]],TODAY(),"Y")</f>
        <v>7</v>
      </c>
      <c r="G63" t="s">
        <v>143</v>
      </c>
      <c r="H63" t="s">
        <v>17</v>
      </c>
      <c r="I63" t="s">
        <v>41</v>
      </c>
      <c r="J63">
        <v>2132</v>
      </c>
      <c r="K63">
        <v>25584</v>
      </c>
      <c r="L63">
        <v>3</v>
      </c>
      <c r="M63">
        <v>5</v>
      </c>
      <c r="N63">
        <v>0</v>
      </c>
      <c r="O63">
        <v>2</v>
      </c>
    </row>
    <row r="64" spans="1:15" x14ac:dyDescent="0.3">
      <c r="A64">
        <v>63</v>
      </c>
      <c r="B64" t="s">
        <v>32</v>
      </c>
      <c r="C64" t="s">
        <v>144</v>
      </c>
      <c r="D64" t="s">
        <v>31</v>
      </c>
      <c r="E64" s="1">
        <v>42819</v>
      </c>
      <c r="F64" s="2">
        <f ca="1">DATEDIF(EmpTable[[#This Row],[Start Date]],TODAY(),"Y")</f>
        <v>8</v>
      </c>
      <c r="G64" t="s">
        <v>27</v>
      </c>
      <c r="H64" t="s">
        <v>28</v>
      </c>
      <c r="I64" t="s">
        <v>35</v>
      </c>
      <c r="J64">
        <v>994</v>
      </c>
      <c r="K64">
        <v>11928</v>
      </c>
      <c r="L64">
        <v>3</v>
      </c>
      <c r="M64">
        <v>6</v>
      </c>
      <c r="N64">
        <v>4</v>
      </c>
      <c r="O64">
        <v>0</v>
      </c>
    </row>
    <row r="65" spans="1:15" x14ac:dyDescent="0.3">
      <c r="A65">
        <v>64</v>
      </c>
      <c r="B65" t="s">
        <v>29</v>
      </c>
      <c r="C65" t="s">
        <v>119</v>
      </c>
      <c r="D65" t="s">
        <v>31</v>
      </c>
      <c r="E65" s="1">
        <v>42389</v>
      </c>
      <c r="F65" s="2">
        <f ca="1">DATEDIF(EmpTable[[#This Row],[Start Date]],TODAY(),"Y")</f>
        <v>10</v>
      </c>
      <c r="G65" t="s">
        <v>49</v>
      </c>
      <c r="H65" t="s">
        <v>17</v>
      </c>
      <c r="I65" t="s">
        <v>35</v>
      </c>
      <c r="J65">
        <v>2304</v>
      </c>
      <c r="K65">
        <v>27648</v>
      </c>
      <c r="L65">
        <v>5</v>
      </c>
      <c r="M65">
        <v>5</v>
      </c>
      <c r="N65">
        <v>0</v>
      </c>
      <c r="O65">
        <v>2</v>
      </c>
    </row>
    <row r="66" spans="1:15" x14ac:dyDescent="0.3">
      <c r="A66">
        <v>65</v>
      </c>
      <c r="B66" t="s">
        <v>145</v>
      </c>
      <c r="C66" t="s">
        <v>146</v>
      </c>
      <c r="D66" t="s">
        <v>31</v>
      </c>
      <c r="E66" s="1">
        <v>43280</v>
      </c>
      <c r="F66" s="2">
        <f ca="1">DATEDIF(EmpTable[[#This Row],[Start Date]],TODAY(),"Y")</f>
        <v>7</v>
      </c>
      <c r="G66" t="s">
        <v>76</v>
      </c>
      <c r="H66" t="s">
        <v>17</v>
      </c>
      <c r="I66" t="s">
        <v>41</v>
      </c>
      <c r="J66">
        <v>1207</v>
      </c>
      <c r="K66">
        <v>14484</v>
      </c>
      <c r="L66">
        <v>2</v>
      </c>
      <c r="M66">
        <v>0</v>
      </c>
      <c r="N66">
        <v>0</v>
      </c>
      <c r="O66">
        <v>50</v>
      </c>
    </row>
    <row r="67" spans="1:15" x14ac:dyDescent="0.3">
      <c r="A67">
        <v>66</v>
      </c>
      <c r="B67" t="s">
        <v>147</v>
      </c>
      <c r="C67" t="s">
        <v>148</v>
      </c>
      <c r="D67" t="s">
        <v>31</v>
      </c>
      <c r="E67" s="1">
        <v>43715</v>
      </c>
      <c r="F67" s="2">
        <f ca="1">DATEDIF(EmpTable[[#This Row],[Start Date]],TODAY(),"Y")</f>
        <v>6</v>
      </c>
      <c r="G67" t="s">
        <v>27</v>
      </c>
      <c r="H67" t="s">
        <v>47</v>
      </c>
      <c r="I67" t="s">
        <v>35</v>
      </c>
      <c r="J67">
        <v>802</v>
      </c>
      <c r="K67">
        <v>9624</v>
      </c>
      <c r="L67">
        <v>4.5</v>
      </c>
      <c r="M67">
        <v>2</v>
      </c>
      <c r="N67">
        <v>0</v>
      </c>
      <c r="O67">
        <v>3</v>
      </c>
    </row>
    <row r="68" spans="1:15" x14ac:dyDescent="0.3">
      <c r="A68">
        <v>67</v>
      </c>
      <c r="B68" t="s">
        <v>32</v>
      </c>
      <c r="C68" t="s">
        <v>149</v>
      </c>
      <c r="D68" t="s">
        <v>31</v>
      </c>
      <c r="E68" s="1">
        <v>43794</v>
      </c>
      <c r="F68" s="2">
        <f ca="1">DATEDIF(EmpTable[[#This Row],[Start Date]],TODAY(),"Y")</f>
        <v>6</v>
      </c>
      <c r="G68" t="s">
        <v>57</v>
      </c>
      <c r="H68" t="s">
        <v>28</v>
      </c>
      <c r="I68" t="s">
        <v>35</v>
      </c>
      <c r="J68">
        <v>2065</v>
      </c>
      <c r="K68">
        <v>24780</v>
      </c>
      <c r="L68">
        <v>3</v>
      </c>
      <c r="M68">
        <v>4</v>
      </c>
      <c r="N68">
        <v>3</v>
      </c>
      <c r="O68">
        <v>4</v>
      </c>
    </row>
    <row r="69" spans="1:15" x14ac:dyDescent="0.3">
      <c r="A69">
        <v>68</v>
      </c>
      <c r="B69" t="s">
        <v>150</v>
      </c>
      <c r="C69" t="s">
        <v>151</v>
      </c>
      <c r="D69" t="s">
        <v>31</v>
      </c>
      <c r="E69" s="1">
        <v>44010</v>
      </c>
      <c r="F69" s="2">
        <f ca="1">DATEDIF(EmpTable[[#This Row],[Start Date]],TODAY(),"Y")</f>
        <v>5</v>
      </c>
      <c r="G69" t="s">
        <v>49</v>
      </c>
      <c r="H69" t="s">
        <v>17</v>
      </c>
      <c r="I69" t="s">
        <v>18</v>
      </c>
      <c r="J69">
        <v>2882</v>
      </c>
      <c r="K69">
        <v>34584</v>
      </c>
      <c r="L69">
        <v>5</v>
      </c>
      <c r="M69">
        <v>0</v>
      </c>
      <c r="N69">
        <v>4</v>
      </c>
      <c r="O69">
        <v>0</v>
      </c>
    </row>
    <row r="70" spans="1:15" x14ac:dyDescent="0.3">
      <c r="A70">
        <v>69</v>
      </c>
      <c r="B70" t="s">
        <v>29</v>
      </c>
      <c r="C70" t="s">
        <v>152</v>
      </c>
      <c r="D70" t="s">
        <v>31</v>
      </c>
      <c r="E70" s="1">
        <v>43268</v>
      </c>
      <c r="F70" s="2">
        <f ca="1">DATEDIF(EmpTable[[#This Row],[Start Date]],TODAY(),"Y")</f>
        <v>7</v>
      </c>
      <c r="G70" t="s">
        <v>40</v>
      </c>
      <c r="H70" t="s">
        <v>17</v>
      </c>
      <c r="I70" t="s">
        <v>35</v>
      </c>
      <c r="J70">
        <v>2042</v>
      </c>
      <c r="K70">
        <v>24504</v>
      </c>
      <c r="L70">
        <v>5</v>
      </c>
      <c r="M70">
        <v>0</v>
      </c>
      <c r="N70">
        <v>3</v>
      </c>
      <c r="O70">
        <v>64</v>
      </c>
    </row>
    <row r="71" spans="1:15" x14ac:dyDescent="0.3">
      <c r="A71">
        <v>70</v>
      </c>
      <c r="B71" t="s">
        <v>153</v>
      </c>
      <c r="C71" t="s">
        <v>154</v>
      </c>
      <c r="D71" t="s">
        <v>31</v>
      </c>
      <c r="E71" s="1">
        <v>43802</v>
      </c>
      <c r="F71" s="2">
        <f ca="1">DATEDIF(EmpTable[[#This Row],[Start Date]],TODAY(),"Y")</f>
        <v>6</v>
      </c>
      <c r="G71" t="s">
        <v>52</v>
      </c>
      <c r="H71" t="s">
        <v>21</v>
      </c>
      <c r="I71" t="s">
        <v>18</v>
      </c>
      <c r="J71">
        <v>2017</v>
      </c>
      <c r="K71">
        <v>24204</v>
      </c>
      <c r="L71">
        <v>3</v>
      </c>
      <c r="M71">
        <v>6</v>
      </c>
      <c r="N71">
        <v>0</v>
      </c>
      <c r="O71">
        <v>8</v>
      </c>
    </row>
    <row r="72" spans="1:15" x14ac:dyDescent="0.3">
      <c r="A72">
        <v>71</v>
      </c>
      <c r="B72" t="s">
        <v>155</v>
      </c>
      <c r="C72" t="s">
        <v>156</v>
      </c>
      <c r="D72" t="s">
        <v>31</v>
      </c>
      <c r="E72" s="1">
        <v>43284</v>
      </c>
      <c r="F72" s="2">
        <f ca="1">DATEDIF(EmpTable[[#This Row],[Start Date]],TODAY(),"Y")</f>
        <v>7</v>
      </c>
      <c r="G72" t="s">
        <v>76</v>
      </c>
      <c r="H72" t="s">
        <v>47</v>
      </c>
      <c r="I72" t="s">
        <v>41</v>
      </c>
      <c r="J72">
        <v>3215</v>
      </c>
      <c r="K72">
        <v>38580</v>
      </c>
      <c r="L72">
        <v>2</v>
      </c>
      <c r="M72">
        <v>5</v>
      </c>
      <c r="N72">
        <v>0</v>
      </c>
      <c r="O72">
        <v>2</v>
      </c>
    </row>
    <row r="73" spans="1:15" x14ac:dyDescent="0.3">
      <c r="A73">
        <v>72</v>
      </c>
      <c r="B73" t="s">
        <v>157</v>
      </c>
      <c r="C73" t="s">
        <v>158</v>
      </c>
      <c r="D73" t="s">
        <v>31</v>
      </c>
      <c r="E73" s="1">
        <v>42691</v>
      </c>
      <c r="F73" s="2">
        <f ca="1">DATEDIF(EmpTable[[#This Row],[Start Date]],TODAY(),"Y")</f>
        <v>9</v>
      </c>
      <c r="G73" t="s">
        <v>27</v>
      </c>
      <c r="H73" t="s">
        <v>28</v>
      </c>
      <c r="I73" t="s">
        <v>35</v>
      </c>
      <c r="J73">
        <v>2957</v>
      </c>
      <c r="K73">
        <v>35484</v>
      </c>
      <c r="L73">
        <v>5</v>
      </c>
      <c r="M73">
        <v>1</v>
      </c>
      <c r="N73">
        <v>0</v>
      </c>
      <c r="O73">
        <v>10</v>
      </c>
    </row>
    <row r="74" spans="1:15" x14ac:dyDescent="0.3">
      <c r="A74">
        <v>73</v>
      </c>
      <c r="B74" t="s">
        <v>159</v>
      </c>
      <c r="C74" t="s">
        <v>86</v>
      </c>
      <c r="D74" t="s">
        <v>306</v>
      </c>
      <c r="E74" s="1">
        <v>43740</v>
      </c>
      <c r="F74" s="2">
        <f ca="1">DATEDIF(EmpTable[[#This Row],[Start Date]],TODAY(),"Y")</f>
        <v>6</v>
      </c>
      <c r="G74" t="s">
        <v>34</v>
      </c>
      <c r="H74" t="s">
        <v>47</v>
      </c>
      <c r="I74" t="s">
        <v>35</v>
      </c>
      <c r="J74">
        <v>891</v>
      </c>
      <c r="K74">
        <v>10692</v>
      </c>
      <c r="L74">
        <v>3</v>
      </c>
      <c r="M74">
        <v>0</v>
      </c>
      <c r="N74">
        <v>2</v>
      </c>
      <c r="O74">
        <v>6</v>
      </c>
    </row>
    <row r="75" spans="1:15" x14ac:dyDescent="0.3">
      <c r="A75">
        <v>74</v>
      </c>
      <c r="B75" t="s">
        <v>160</v>
      </c>
      <c r="C75" t="s">
        <v>161</v>
      </c>
      <c r="D75" t="s">
        <v>31</v>
      </c>
      <c r="E75" s="1">
        <v>43339</v>
      </c>
      <c r="F75" s="2">
        <f ca="1">DATEDIF(EmpTable[[#This Row],[Start Date]],TODAY(),"Y")</f>
        <v>7</v>
      </c>
      <c r="G75" t="s">
        <v>162</v>
      </c>
      <c r="H75" t="s">
        <v>28</v>
      </c>
      <c r="I75" t="s">
        <v>35</v>
      </c>
      <c r="J75">
        <v>1971</v>
      </c>
      <c r="K75">
        <v>23652</v>
      </c>
      <c r="L75">
        <v>4.5</v>
      </c>
      <c r="M75">
        <v>5</v>
      </c>
      <c r="N75">
        <v>1</v>
      </c>
      <c r="O75">
        <v>0</v>
      </c>
    </row>
    <row r="76" spans="1:15" x14ac:dyDescent="0.3">
      <c r="A76">
        <v>75</v>
      </c>
      <c r="B76" t="s">
        <v>115</v>
      </c>
      <c r="C76" t="s">
        <v>163</v>
      </c>
      <c r="D76" t="s">
        <v>31</v>
      </c>
      <c r="E76" s="1">
        <v>44149</v>
      </c>
      <c r="F76" s="2">
        <f ca="1">DATEDIF(EmpTable[[#This Row],[Start Date]],TODAY(),"Y")</f>
        <v>5</v>
      </c>
      <c r="G76" t="s">
        <v>52</v>
      </c>
      <c r="H76" t="s">
        <v>28</v>
      </c>
      <c r="I76" t="s">
        <v>18</v>
      </c>
      <c r="J76">
        <v>2317</v>
      </c>
      <c r="K76">
        <v>27804</v>
      </c>
      <c r="L76">
        <v>3</v>
      </c>
      <c r="M76">
        <v>6</v>
      </c>
      <c r="N76">
        <v>1</v>
      </c>
      <c r="O76">
        <v>10</v>
      </c>
    </row>
    <row r="77" spans="1:15" x14ac:dyDescent="0.3">
      <c r="A77">
        <v>76</v>
      </c>
      <c r="B77" t="s">
        <v>164</v>
      </c>
      <c r="C77" t="s">
        <v>165</v>
      </c>
      <c r="D77" t="s">
        <v>31</v>
      </c>
      <c r="E77" s="1">
        <v>43797</v>
      </c>
      <c r="F77" s="2">
        <f ca="1">DATEDIF(EmpTable[[#This Row],[Start Date]],TODAY(),"Y")</f>
        <v>6</v>
      </c>
      <c r="G77" t="s">
        <v>27</v>
      </c>
      <c r="H77" t="s">
        <v>17</v>
      </c>
      <c r="I77" t="s">
        <v>59</v>
      </c>
      <c r="J77">
        <v>1657</v>
      </c>
      <c r="K77">
        <v>19884</v>
      </c>
      <c r="L77">
        <v>3</v>
      </c>
      <c r="M77">
        <v>0</v>
      </c>
      <c r="N77">
        <v>0</v>
      </c>
      <c r="O77">
        <v>12</v>
      </c>
    </row>
    <row r="78" spans="1:15" x14ac:dyDescent="0.3">
      <c r="A78">
        <v>77</v>
      </c>
      <c r="B78" t="s">
        <v>118</v>
      </c>
      <c r="C78" t="s">
        <v>166</v>
      </c>
      <c r="D78" t="s">
        <v>31</v>
      </c>
      <c r="E78" s="1">
        <v>43210</v>
      </c>
      <c r="F78" s="2">
        <f ca="1">DATEDIF(EmpTable[[#This Row],[Start Date]],TODAY(),"Y")</f>
        <v>7</v>
      </c>
      <c r="G78" t="s">
        <v>27</v>
      </c>
      <c r="H78" t="s">
        <v>17</v>
      </c>
      <c r="I78" t="s">
        <v>18</v>
      </c>
      <c r="J78">
        <v>3053</v>
      </c>
      <c r="K78">
        <v>36636</v>
      </c>
      <c r="L78">
        <v>3</v>
      </c>
      <c r="M78">
        <v>0</v>
      </c>
      <c r="N78">
        <v>3</v>
      </c>
      <c r="O78">
        <v>6</v>
      </c>
    </row>
    <row r="79" spans="1:15" x14ac:dyDescent="0.3">
      <c r="A79">
        <v>78</v>
      </c>
      <c r="B79" t="s">
        <v>167</v>
      </c>
      <c r="C79" t="s">
        <v>168</v>
      </c>
      <c r="D79" t="s">
        <v>31</v>
      </c>
      <c r="E79" s="1">
        <v>43840</v>
      </c>
      <c r="F79" s="2">
        <f ca="1">DATEDIF(EmpTable[[#This Row],[Start Date]],TODAY(),"Y")</f>
        <v>6</v>
      </c>
      <c r="G79" t="s">
        <v>27</v>
      </c>
      <c r="H79" t="s">
        <v>28</v>
      </c>
      <c r="I79" t="s">
        <v>18</v>
      </c>
      <c r="J79">
        <v>1887</v>
      </c>
      <c r="K79">
        <v>22644</v>
      </c>
      <c r="L79">
        <v>1</v>
      </c>
      <c r="M79">
        <v>6</v>
      </c>
      <c r="N79">
        <v>0</v>
      </c>
      <c r="O79">
        <v>4</v>
      </c>
    </row>
    <row r="80" spans="1:15" x14ac:dyDescent="0.3">
      <c r="A80">
        <v>79</v>
      </c>
      <c r="B80" t="s">
        <v>169</v>
      </c>
      <c r="C80" t="s">
        <v>170</v>
      </c>
      <c r="D80" t="s">
        <v>31</v>
      </c>
      <c r="E80" s="1">
        <v>43411</v>
      </c>
      <c r="F80" s="2">
        <f ca="1">DATEDIF(EmpTable[[#This Row],[Start Date]],TODAY(),"Y")</f>
        <v>7</v>
      </c>
      <c r="G80" t="s">
        <v>27</v>
      </c>
      <c r="H80" t="s">
        <v>28</v>
      </c>
      <c r="I80" t="s">
        <v>41</v>
      </c>
      <c r="J80">
        <v>1457</v>
      </c>
      <c r="K80">
        <v>17484</v>
      </c>
      <c r="L80">
        <v>4.5</v>
      </c>
      <c r="M80">
        <v>0</v>
      </c>
      <c r="N80">
        <v>0</v>
      </c>
      <c r="O80">
        <v>9</v>
      </c>
    </row>
    <row r="81" spans="1:15" x14ac:dyDescent="0.3">
      <c r="A81">
        <v>80</v>
      </c>
      <c r="B81" t="s">
        <v>171</v>
      </c>
      <c r="C81" t="s">
        <v>172</v>
      </c>
      <c r="D81" t="s">
        <v>306</v>
      </c>
      <c r="E81" s="1">
        <v>43591</v>
      </c>
      <c r="F81" s="2">
        <f ca="1">DATEDIF(EmpTable[[#This Row],[Start Date]],TODAY(),"Y")</f>
        <v>6</v>
      </c>
      <c r="G81" t="s">
        <v>16</v>
      </c>
      <c r="H81" t="s">
        <v>17</v>
      </c>
      <c r="I81" t="s">
        <v>41</v>
      </c>
      <c r="J81">
        <v>2581</v>
      </c>
      <c r="K81">
        <v>30972</v>
      </c>
      <c r="L81">
        <v>5</v>
      </c>
      <c r="M81">
        <v>0</v>
      </c>
      <c r="N81">
        <v>0</v>
      </c>
      <c r="O81">
        <v>8</v>
      </c>
    </row>
    <row r="82" spans="1:15" x14ac:dyDescent="0.3">
      <c r="A82">
        <v>81</v>
      </c>
      <c r="B82" t="s">
        <v>173</v>
      </c>
      <c r="C82" t="s">
        <v>174</v>
      </c>
      <c r="D82" t="s">
        <v>306</v>
      </c>
      <c r="E82" s="1">
        <v>42609</v>
      </c>
      <c r="F82" s="2">
        <f ca="1">DATEDIF(EmpTable[[#This Row],[Start Date]],TODAY(),"Y")</f>
        <v>9</v>
      </c>
      <c r="G82" t="s">
        <v>49</v>
      </c>
      <c r="H82" t="s">
        <v>28</v>
      </c>
      <c r="I82" t="s">
        <v>35</v>
      </c>
      <c r="J82">
        <v>901</v>
      </c>
      <c r="K82">
        <v>10812</v>
      </c>
      <c r="L82">
        <v>5</v>
      </c>
      <c r="M82">
        <v>0</v>
      </c>
      <c r="N82">
        <v>2</v>
      </c>
      <c r="O82">
        <v>10</v>
      </c>
    </row>
    <row r="83" spans="1:15" x14ac:dyDescent="0.3">
      <c r="A83">
        <v>82</v>
      </c>
      <c r="B83" t="s">
        <v>175</v>
      </c>
      <c r="C83" t="s">
        <v>176</v>
      </c>
      <c r="D83" t="s">
        <v>306</v>
      </c>
      <c r="E83" s="1">
        <v>42544</v>
      </c>
      <c r="F83" s="2">
        <f ca="1">DATEDIF(EmpTable[[#This Row],[Start Date]],TODAY(),"Y")</f>
        <v>9</v>
      </c>
      <c r="G83" t="s">
        <v>40</v>
      </c>
      <c r="H83" t="s">
        <v>28</v>
      </c>
      <c r="I83" t="s">
        <v>41</v>
      </c>
      <c r="J83">
        <v>898</v>
      </c>
      <c r="K83">
        <v>10776</v>
      </c>
      <c r="L83">
        <v>4.5</v>
      </c>
      <c r="M83">
        <v>3</v>
      </c>
      <c r="N83">
        <v>0</v>
      </c>
      <c r="O83">
        <v>11</v>
      </c>
    </row>
    <row r="84" spans="1:15" x14ac:dyDescent="0.3">
      <c r="A84">
        <v>83</v>
      </c>
      <c r="B84" t="s">
        <v>32</v>
      </c>
      <c r="C84" t="s">
        <v>177</v>
      </c>
      <c r="D84" t="s">
        <v>31</v>
      </c>
      <c r="E84" s="1">
        <v>44069</v>
      </c>
      <c r="F84" s="2">
        <f ca="1">DATEDIF(EmpTable[[#This Row],[Start Date]],TODAY(),"Y")</f>
        <v>5</v>
      </c>
      <c r="G84" t="s">
        <v>40</v>
      </c>
      <c r="H84" t="s">
        <v>17</v>
      </c>
      <c r="I84" t="s">
        <v>18</v>
      </c>
      <c r="J84">
        <v>2878</v>
      </c>
      <c r="K84">
        <v>34536</v>
      </c>
      <c r="L84">
        <v>3</v>
      </c>
      <c r="M84">
        <v>0</v>
      </c>
      <c r="N84">
        <v>0</v>
      </c>
      <c r="O84">
        <v>2</v>
      </c>
    </row>
    <row r="85" spans="1:15" x14ac:dyDescent="0.3">
      <c r="A85">
        <v>84</v>
      </c>
      <c r="B85" t="s">
        <v>32</v>
      </c>
      <c r="C85" t="s">
        <v>178</v>
      </c>
      <c r="D85" t="s">
        <v>31</v>
      </c>
      <c r="E85" s="1">
        <v>43116</v>
      </c>
      <c r="F85" s="2">
        <f ca="1">DATEDIF(EmpTable[[#This Row],[Start Date]],TODAY(),"Y")</f>
        <v>8</v>
      </c>
      <c r="G85" t="s">
        <v>92</v>
      </c>
      <c r="H85" t="s">
        <v>17</v>
      </c>
      <c r="I85" t="s">
        <v>41</v>
      </c>
      <c r="J85">
        <v>2539</v>
      </c>
      <c r="K85">
        <v>30468</v>
      </c>
      <c r="L85">
        <v>3</v>
      </c>
      <c r="M85">
        <v>0</v>
      </c>
      <c r="N85">
        <v>0</v>
      </c>
      <c r="O85">
        <v>0</v>
      </c>
    </row>
    <row r="86" spans="1:15" x14ac:dyDescent="0.3">
      <c r="A86">
        <v>85</v>
      </c>
      <c r="B86" t="s">
        <v>179</v>
      </c>
      <c r="C86" t="s">
        <v>180</v>
      </c>
      <c r="D86" t="s">
        <v>31</v>
      </c>
      <c r="E86" s="1">
        <v>43286</v>
      </c>
      <c r="F86" s="2">
        <f ca="1">DATEDIF(EmpTable[[#This Row],[Start Date]],TODAY(),"Y")</f>
        <v>7</v>
      </c>
      <c r="G86" t="s">
        <v>16</v>
      </c>
      <c r="H86" t="s">
        <v>17</v>
      </c>
      <c r="I86" t="s">
        <v>35</v>
      </c>
      <c r="J86">
        <v>2533</v>
      </c>
      <c r="K86">
        <v>30396</v>
      </c>
      <c r="L86">
        <v>5</v>
      </c>
      <c r="M86">
        <v>0</v>
      </c>
      <c r="N86">
        <v>0</v>
      </c>
      <c r="O86">
        <v>2</v>
      </c>
    </row>
    <row r="87" spans="1:15" x14ac:dyDescent="0.3">
      <c r="A87">
        <v>86</v>
      </c>
      <c r="B87" t="s">
        <v>181</v>
      </c>
      <c r="C87" t="s">
        <v>182</v>
      </c>
      <c r="D87" t="s">
        <v>306</v>
      </c>
      <c r="E87" s="1">
        <v>43481</v>
      </c>
      <c r="F87" s="2">
        <f ca="1">DATEDIF(EmpTable[[#This Row],[Start Date]],TODAY(),"Y")</f>
        <v>7</v>
      </c>
      <c r="G87" t="s">
        <v>75</v>
      </c>
      <c r="H87" t="s">
        <v>17</v>
      </c>
      <c r="I87" t="s">
        <v>18</v>
      </c>
      <c r="J87">
        <v>885</v>
      </c>
      <c r="K87">
        <v>10620</v>
      </c>
      <c r="L87">
        <v>3</v>
      </c>
      <c r="M87">
        <v>0</v>
      </c>
      <c r="N87">
        <v>0</v>
      </c>
      <c r="O87">
        <v>3</v>
      </c>
    </row>
    <row r="88" spans="1:15" x14ac:dyDescent="0.3">
      <c r="A88">
        <v>87</v>
      </c>
      <c r="B88" t="s">
        <v>32</v>
      </c>
      <c r="C88" t="s">
        <v>178</v>
      </c>
      <c r="D88" t="s">
        <v>31</v>
      </c>
      <c r="E88" s="1">
        <v>43635</v>
      </c>
      <c r="F88" s="2">
        <f ca="1">DATEDIF(EmpTable[[#This Row],[Start Date]],TODAY(),"Y")</f>
        <v>6</v>
      </c>
      <c r="G88" t="s">
        <v>52</v>
      </c>
      <c r="H88" t="s">
        <v>28</v>
      </c>
      <c r="I88" t="s">
        <v>18</v>
      </c>
      <c r="J88">
        <v>1166</v>
      </c>
      <c r="K88">
        <v>13992</v>
      </c>
      <c r="L88">
        <v>5</v>
      </c>
      <c r="M88">
        <v>0</v>
      </c>
      <c r="N88">
        <v>4</v>
      </c>
      <c r="O88">
        <v>5</v>
      </c>
    </row>
    <row r="89" spans="1:15" x14ac:dyDescent="0.3">
      <c r="A89">
        <v>88</v>
      </c>
      <c r="B89" t="s">
        <v>183</v>
      </c>
      <c r="C89" t="s">
        <v>184</v>
      </c>
      <c r="D89" t="s">
        <v>306</v>
      </c>
      <c r="E89" s="1">
        <v>43009</v>
      </c>
      <c r="F89" s="2">
        <f ca="1">DATEDIF(EmpTable[[#This Row],[Start Date]],TODAY(),"Y")</f>
        <v>8</v>
      </c>
      <c r="G89" t="s">
        <v>40</v>
      </c>
      <c r="H89" t="s">
        <v>28</v>
      </c>
      <c r="I89" t="s">
        <v>18</v>
      </c>
      <c r="J89">
        <v>2022</v>
      </c>
      <c r="K89">
        <v>24264</v>
      </c>
      <c r="L89">
        <v>5</v>
      </c>
      <c r="M89">
        <v>0</v>
      </c>
      <c r="N89">
        <v>0</v>
      </c>
      <c r="O89">
        <v>3</v>
      </c>
    </row>
    <row r="90" spans="1:15" x14ac:dyDescent="0.3">
      <c r="A90">
        <v>89</v>
      </c>
      <c r="B90" t="s">
        <v>185</v>
      </c>
      <c r="C90" t="s">
        <v>186</v>
      </c>
      <c r="D90" t="s">
        <v>31</v>
      </c>
      <c r="E90" s="1">
        <v>43856</v>
      </c>
      <c r="F90" s="2">
        <f ca="1">DATEDIF(EmpTable[[#This Row],[Start Date]],TODAY(),"Y")</f>
        <v>6</v>
      </c>
      <c r="G90" t="s">
        <v>75</v>
      </c>
      <c r="H90" t="s">
        <v>17</v>
      </c>
      <c r="I90" t="s">
        <v>41</v>
      </c>
      <c r="J90">
        <v>1752</v>
      </c>
      <c r="K90">
        <v>21024</v>
      </c>
      <c r="L90">
        <v>2</v>
      </c>
      <c r="M90">
        <v>5</v>
      </c>
      <c r="N90">
        <v>4</v>
      </c>
      <c r="O90">
        <v>76</v>
      </c>
    </row>
    <row r="91" spans="1:15" x14ac:dyDescent="0.3">
      <c r="A91">
        <v>90</v>
      </c>
      <c r="B91" t="s">
        <v>187</v>
      </c>
      <c r="C91" t="s">
        <v>188</v>
      </c>
      <c r="D91" t="s">
        <v>306</v>
      </c>
      <c r="E91" s="1">
        <v>43666</v>
      </c>
      <c r="F91" s="2">
        <f ca="1">DATEDIF(EmpTable[[#This Row],[Start Date]],TODAY(),"Y")</f>
        <v>6</v>
      </c>
      <c r="G91" t="s">
        <v>49</v>
      </c>
      <c r="H91" t="s">
        <v>17</v>
      </c>
      <c r="I91" t="s">
        <v>41</v>
      </c>
      <c r="J91">
        <v>3157</v>
      </c>
      <c r="K91">
        <v>37884</v>
      </c>
      <c r="L91">
        <v>1</v>
      </c>
      <c r="M91">
        <v>6</v>
      </c>
      <c r="N91">
        <v>1</v>
      </c>
      <c r="O91">
        <v>4</v>
      </c>
    </row>
    <row r="92" spans="1:15" x14ac:dyDescent="0.3">
      <c r="A92">
        <v>91</v>
      </c>
      <c r="B92" t="s">
        <v>126</v>
      </c>
      <c r="C92" t="s">
        <v>189</v>
      </c>
      <c r="D92" t="s">
        <v>31</v>
      </c>
      <c r="E92" s="1">
        <v>44039</v>
      </c>
      <c r="F92" s="2">
        <f ca="1">DATEDIF(EmpTable[[#This Row],[Start Date]],TODAY(),"Y")</f>
        <v>5</v>
      </c>
      <c r="G92" t="s">
        <v>16</v>
      </c>
      <c r="H92" t="s">
        <v>17</v>
      </c>
      <c r="I92" t="s">
        <v>41</v>
      </c>
      <c r="J92">
        <v>3211</v>
      </c>
      <c r="K92">
        <v>38532</v>
      </c>
      <c r="L92">
        <v>5</v>
      </c>
      <c r="M92">
        <v>6</v>
      </c>
      <c r="N92">
        <v>1</v>
      </c>
      <c r="O92">
        <v>9</v>
      </c>
    </row>
    <row r="93" spans="1:15" x14ac:dyDescent="0.3">
      <c r="A93">
        <v>92</v>
      </c>
      <c r="B93" t="s">
        <v>190</v>
      </c>
      <c r="C93" t="s">
        <v>144</v>
      </c>
      <c r="D93" t="s">
        <v>306</v>
      </c>
      <c r="E93" s="1">
        <v>43384</v>
      </c>
      <c r="F93" s="2">
        <f ca="1">DATEDIF(EmpTable[[#This Row],[Start Date]],TODAY(),"Y")</f>
        <v>7</v>
      </c>
      <c r="G93" t="s">
        <v>76</v>
      </c>
      <c r="H93" t="s">
        <v>17</v>
      </c>
      <c r="I93" t="s">
        <v>35</v>
      </c>
      <c r="J93">
        <v>1062</v>
      </c>
      <c r="K93">
        <v>12744</v>
      </c>
      <c r="L93">
        <v>3</v>
      </c>
      <c r="M93">
        <v>1</v>
      </c>
      <c r="N93">
        <v>0</v>
      </c>
      <c r="O93">
        <v>7</v>
      </c>
    </row>
    <row r="94" spans="1:15" x14ac:dyDescent="0.3">
      <c r="A94">
        <v>93</v>
      </c>
      <c r="B94" t="s">
        <v>191</v>
      </c>
      <c r="C94" t="s">
        <v>192</v>
      </c>
      <c r="D94" t="s">
        <v>306</v>
      </c>
      <c r="E94" s="1">
        <v>43657</v>
      </c>
      <c r="F94" s="2">
        <f ca="1">DATEDIF(EmpTable[[#This Row],[Start Date]],TODAY(),"Y")</f>
        <v>6</v>
      </c>
      <c r="G94" t="s">
        <v>52</v>
      </c>
      <c r="H94" t="s">
        <v>17</v>
      </c>
      <c r="I94" t="s">
        <v>41</v>
      </c>
      <c r="J94">
        <v>1406</v>
      </c>
      <c r="K94">
        <v>16872</v>
      </c>
      <c r="L94">
        <v>4.5</v>
      </c>
      <c r="M94">
        <v>4</v>
      </c>
      <c r="N94">
        <v>0</v>
      </c>
      <c r="O94">
        <v>46</v>
      </c>
    </row>
    <row r="95" spans="1:15" x14ac:dyDescent="0.3">
      <c r="A95">
        <v>94</v>
      </c>
      <c r="B95" t="s">
        <v>32</v>
      </c>
      <c r="C95" t="s">
        <v>193</v>
      </c>
      <c r="D95" t="s">
        <v>31</v>
      </c>
      <c r="E95" s="1">
        <v>43694</v>
      </c>
      <c r="F95" s="2">
        <f ca="1">DATEDIF(EmpTable[[#This Row],[Start Date]],TODAY(),"Y")</f>
        <v>6</v>
      </c>
      <c r="G95" t="s">
        <v>92</v>
      </c>
      <c r="H95" t="s">
        <v>28</v>
      </c>
      <c r="I95" t="s">
        <v>18</v>
      </c>
      <c r="J95">
        <v>3084</v>
      </c>
      <c r="K95">
        <v>37008</v>
      </c>
      <c r="L95">
        <v>3</v>
      </c>
      <c r="M95">
        <v>6</v>
      </c>
      <c r="N95">
        <v>0</v>
      </c>
      <c r="O95">
        <v>3</v>
      </c>
    </row>
    <row r="96" spans="1:15" x14ac:dyDescent="0.3">
      <c r="A96">
        <v>95</v>
      </c>
      <c r="B96" t="s">
        <v>194</v>
      </c>
      <c r="C96" t="s">
        <v>195</v>
      </c>
      <c r="D96" t="s">
        <v>31</v>
      </c>
      <c r="E96" s="1">
        <v>44139</v>
      </c>
      <c r="F96" s="2">
        <f ca="1">DATEDIF(EmpTable[[#This Row],[Start Date]],TODAY(),"Y")</f>
        <v>5</v>
      </c>
      <c r="G96" t="s">
        <v>57</v>
      </c>
      <c r="H96" t="s">
        <v>17</v>
      </c>
      <c r="I96" t="s">
        <v>41</v>
      </c>
      <c r="J96">
        <v>1815</v>
      </c>
      <c r="K96">
        <v>21780</v>
      </c>
      <c r="L96">
        <v>4.5</v>
      </c>
      <c r="M96">
        <v>1</v>
      </c>
      <c r="N96">
        <v>0</v>
      </c>
      <c r="O96">
        <v>9</v>
      </c>
    </row>
    <row r="97" spans="1:15" x14ac:dyDescent="0.3">
      <c r="A97">
        <v>96</v>
      </c>
      <c r="B97" t="s">
        <v>32</v>
      </c>
      <c r="C97" t="s">
        <v>63</v>
      </c>
      <c r="D97" t="s">
        <v>31</v>
      </c>
      <c r="E97" s="1">
        <v>42937</v>
      </c>
      <c r="F97" s="2">
        <f ca="1">DATEDIF(EmpTable[[#This Row],[Start Date]],TODAY(),"Y")</f>
        <v>8</v>
      </c>
      <c r="G97" t="s">
        <v>49</v>
      </c>
      <c r="H97" t="s">
        <v>28</v>
      </c>
      <c r="I97" t="s">
        <v>41</v>
      </c>
      <c r="J97">
        <v>1861</v>
      </c>
      <c r="K97">
        <v>22332</v>
      </c>
      <c r="L97">
        <v>3</v>
      </c>
      <c r="M97">
        <v>0</v>
      </c>
      <c r="N97">
        <v>5</v>
      </c>
      <c r="O97">
        <v>9</v>
      </c>
    </row>
    <row r="98" spans="1:15" x14ac:dyDescent="0.3">
      <c r="A98">
        <v>97</v>
      </c>
      <c r="B98" t="s">
        <v>196</v>
      </c>
      <c r="C98" t="s">
        <v>197</v>
      </c>
      <c r="D98" t="s">
        <v>31</v>
      </c>
      <c r="E98" s="1">
        <v>43200</v>
      </c>
      <c r="F98" s="2">
        <f ca="1">DATEDIF(EmpTable[[#This Row],[Start Date]],TODAY(),"Y")</f>
        <v>7</v>
      </c>
      <c r="G98" t="s">
        <v>27</v>
      </c>
      <c r="H98" t="s">
        <v>28</v>
      </c>
      <c r="I98" t="s">
        <v>35</v>
      </c>
      <c r="J98">
        <v>3088</v>
      </c>
      <c r="K98">
        <v>37056</v>
      </c>
      <c r="L98">
        <v>5</v>
      </c>
      <c r="M98">
        <v>3</v>
      </c>
      <c r="N98">
        <v>0</v>
      </c>
      <c r="O98">
        <v>10</v>
      </c>
    </row>
    <row r="99" spans="1:15" x14ac:dyDescent="0.3">
      <c r="A99">
        <v>98</v>
      </c>
      <c r="B99" t="s">
        <v>194</v>
      </c>
      <c r="C99" t="s">
        <v>198</v>
      </c>
      <c r="D99" t="s">
        <v>31</v>
      </c>
      <c r="E99" s="1">
        <v>42858</v>
      </c>
      <c r="F99" s="2">
        <f ca="1">DATEDIF(EmpTable[[#This Row],[Start Date]],TODAY(),"Y")</f>
        <v>8</v>
      </c>
      <c r="G99" t="s">
        <v>199</v>
      </c>
      <c r="H99" t="s">
        <v>47</v>
      </c>
      <c r="I99" t="s">
        <v>41</v>
      </c>
      <c r="J99">
        <v>3071</v>
      </c>
      <c r="K99">
        <v>36852</v>
      </c>
      <c r="L99">
        <v>5</v>
      </c>
      <c r="M99">
        <v>6</v>
      </c>
      <c r="N99">
        <v>0</v>
      </c>
      <c r="O99">
        <v>2</v>
      </c>
    </row>
    <row r="100" spans="1:15" x14ac:dyDescent="0.3">
      <c r="A100">
        <v>99</v>
      </c>
      <c r="B100" t="s">
        <v>169</v>
      </c>
      <c r="C100" t="s">
        <v>125</v>
      </c>
      <c r="D100" t="s">
        <v>31</v>
      </c>
      <c r="E100" s="1">
        <v>43433</v>
      </c>
      <c r="F100" s="2">
        <f ca="1">DATEDIF(EmpTable[[#This Row],[Start Date]],TODAY(),"Y")</f>
        <v>7</v>
      </c>
      <c r="G100" t="s">
        <v>27</v>
      </c>
      <c r="H100" t="s">
        <v>28</v>
      </c>
      <c r="I100" t="s">
        <v>35</v>
      </c>
      <c r="J100">
        <v>3298</v>
      </c>
      <c r="K100">
        <v>39576</v>
      </c>
      <c r="L100">
        <v>3</v>
      </c>
      <c r="M100">
        <v>0</v>
      </c>
      <c r="N100">
        <v>0</v>
      </c>
      <c r="O100">
        <v>9</v>
      </c>
    </row>
    <row r="101" spans="1:15" x14ac:dyDescent="0.3">
      <c r="A101">
        <v>100</v>
      </c>
      <c r="B101" t="s">
        <v>83</v>
      </c>
      <c r="C101" t="s">
        <v>200</v>
      </c>
      <c r="D101" t="s">
        <v>306</v>
      </c>
      <c r="E101" s="1">
        <v>43339</v>
      </c>
      <c r="F101" s="2">
        <f ca="1">DATEDIF(EmpTable[[#This Row],[Start Date]],TODAY(),"Y")</f>
        <v>7</v>
      </c>
      <c r="G101" t="s">
        <v>34</v>
      </c>
      <c r="H101" t="s">
        <v>21</v>
      </c>
      <c r="I101" t="s">
        <v>35</v>
      </c>
      <c r="J101">
        <v>828</v>
      </c>
      <c r="K101">
        <v>9936</v>
      </c>
      <c r="L101">
        <v>5</v>
      </c>
      <c r="M101">
        <v>0</v>
      </c>
      <c r="N101">
        <v>0</v>
      </c>
      <c r="O101">
        <v>10</v>
      </c>
    </row>
    <row r="102" spans="1:15" x14ac:dyDescent="0.3">
      <c r="A102">
        <v>101</v>
      </c>
      <c r="B102" t="s">
        <v>32</v>
      </c>
      <c r="C102" t="s">
        <v>124</v>
      </c>
      <c r="D102" t="s">
        <v>31</v>
      </c>
      <c r="E102" s="1">
        <v>43786</v>
      </c>
      <c r="F102" s="2">
        <f ca="1">DATEDIF(EmpTable[[#This Row],[Start Date]],TODAY(),"Y")</f>
        <v>6</v>
      </c>
      <c r="G102" t="s">
        <v>27</v>
      </c>
      <c r="H102" t="s">
        <v>17</v>
      </c>
      <c r="I102" t="s">
        <v>35</v>
      </c>
      <c r="J102">
        <v>2404</v>
      </c>
      <c r="K102">
        <v>28848</v>
      </c>
      <c r="L102">
        <v>4.5</v>
      </c>
      <c r="M102">
        <v>0</v>
      </c>
      <c r="N102">
        <v>0</v>
      </c>
      <c r="O102">
        <v>99</v>
      </c>
    </row>
    <row r="103" spans="1:15" x14ac:dyDescent="0.3">
      <c r="A103">
        <v>102</v>
      </c>
      <c r="B103" t="s">
        <v>124</v>
      </c>
      <c r="C103" t="s">
        <v>32</v>
      </c>
      <c r="D103" t="s">
        <v>31</v>
      </c>
      <c r="E103" s="1">
        <v>43740</v>
      </c>
      <c r="F103" s="2">
        <f ca="1">DATEDIF(EmpTable[[#This Row],[Start Date]],TODAY(),"Y")</f>
        <v>6</v>
      </c>
      <c r="G103" t="s">
        <v>57</v>
      </c>
      <c r="H103" t="s">
        <v>17</v>
      </c>
      <c r="I103" t="s">
        <v>59</v>
      </c>
      <c r="J103">
        <v>3410</v>
      </c>
      <c r="K103">
        <v>40920</v>
      </c>
      <c r="L103">
        <v>3</v>
      </c>
      <c r="M103">
        <v>2</v>
      </c>
      <c r="N103">
        <v>0</v>
      </c>
      <c r="O103">
        <v>8</v>
      </c>
    </row>
    <row r="104" spans="1:15" x14ac:dyDescent="0.3">
      <c r="A104">
        <v>103</v>
      </c>
      <c r="B104" t="s">
        <v>29</v>
      </c>
      <c r="C104" t="s">
        <v>201</v>
      </c>
      <c r="D104" t="s">
        <v>31</v>
      </c>
      <c r="E104" s="1">
        <v>43793</v>
      </c>
      <c r="F104" s="2">
        <f ca="1">DATEDIF(EmpTable[[#This Row],[Start Date]],TODAY(),"Y")</f>
        <v>6</v>
      </c>
      <c r="G104" t="s">
        <v>34</v>
      </c>
      <c r="H104" t="s">
        <v>28</v>
      </c>
      <c r="I104" t="s">
        <v>41</v>
      </c>
      <c r="J104">
        <v>1817</v>
      </c>
      <c r="K104">
        <v>21804</v>
      </c>
      <c r="L104">
        <v>5</v>
      </c>
      <c r="M104">
        <v>1</v>
      </c>
      <c r="N104">
        <v>0</v>
      </c>
      <c r="O104">
        <v>1</v>
      </c>
    </row>
    <row r="105" spans="1:15" x14ac:dyDescent="0.3">
      <c r="A105">
        <v>104</v>
      </c>
      <c r="B105" t="s">
        <v>85</v>
      </c>
      <c r="C105" t="s">
        <v>202</v>
      </c>
      <c r="D105" t="s">
        <v>31</v>
      </c>
      <c r="E105" s="1">
        <v>43867</v>
      </c>
      <c r="F105" s="2">
        <f ca="1">DATEDIF(EmpTable[[#This Row],[Start Date]],TODAY(),"Y")</f>
        <v>6</v>
      </c>
      <c r="G105" t="s">
        <v>27</v>
      </c>
      <c r="H105" t="s">
        <v>47</v>
      </c>
      <c r="I105" t="s">
        <v>41</v>
      </c>
      <c r="J105">
        <v>2923</v>
      </c>
      <c r="K105">
        <v>35076</v>
      </c>
      <c r="L105">
        <v>2</v>
      </c>
      <c r="M105">
        <v>0</v>
      </c>
      <c r="N105">
        <v>0</v>
      </c>
      <c r="O105">
        <v>0</v>
      </c>
    </row>
    <row r="106" spans="1:15" x14ac:dyDescent="0.3">
      <c r="A106">
        <v>105</v>
      </c>
      <c r="B106" t="s">
        <v>32</v>
      </c>
      <c r="C106" t="s">
        <v>177</v>
      </c>
      <c r="D106" t="s">
        <v>31</v>
      </c>
      <c r="E106" s="1">
        <v>43397</v>
      </c>
      <c r="F106" s="2">
        <f ca="1">DATEDIF(EmpTable[[#This Row],[Start Date]],TODAY(),"Y")</f>
        <v>7</v>
      </c>
      <c r="G106" t="s">
        <v>87</v>
      </c>
      <c r="H106" t="s">
        <v>17</v>
      </c>
      <c r="I106" t="s">
        <v>59</v>
      </c>
      <c r="J106">
        <v>3138</v>
      </c>
      <c r="K106">
        <v>37656</v>
      </c>
      <c r="L106">
        <v>5</v>
      </c>
      <c r="M106">
        <v>6</v>
      </c>
      <c r="N106">
        <v>0</v>
      </c>
      <c r="O106">
        <v>10</v>
      </c>
    </row>
    <row r="107" spans="1:15" x14ac:dyDescent="0.3">
      <c r="A107">
        <v>106</v>
      </c>
      <c r="B107" t="s">
        <v>203</v>
      </c>
      <c r="C107" t="s">
        <v>204</v>
      </c>
      <c r="D107" t="s">
        <v>31</v>
      </c>
      <c r="E107" s="1">
        <v>43979</v>
      </c>
      <c r="F107" s="2">
        <f ca="1">DATEDIF(EmpTable[[#This Row],[Start Date]],TODAY(),"Y")</f>
        <v>5</v>
      </c>
      <c r="G107" t="s">
        <v>40</v>
      </c>
      <c r="H107" t="s">
        <v>17</v>
      </c>
      <c r="I107" t="s">
        <v>35</v>
      </c>
      <c r="J107">
        <v>3139</v>
      </c>
      <c r="K107">
        <v>37668</v>
      </c>
      <c r="L107">
        <v>3</v>
      </c>
      <c r="M107">
        <v>0</v>
      </c>
      <c r="N107">
        <v>0</v>
      </c>
      <c r="O107">
        <v>10</v>
      </c>
    </row>
    <row r="108" spans="1:15" x14ac:dyDescent="0.3">
      <c r="A108">
        <v>107</v>
      </c>
      <c r="B108" t="s">
        <v>145</v>
      </c>
      <c r="C108" t="s">
        <v>154</v>
      </c>
      <c r="D108" t="s">
        <v>31</v>
      </c>
      <c r="E108" s="1">
        <v>42507</v>
      </c>
      <c r="F108" s="2">
        <f ca="1">DATEDIF(EmpTable[[#This Row],[Start Date]],TODAY(),"Y")</f>
        <v>9</v>
      </c>
      <c r="G108" t="s">
        <v>75</v>
      </c>
      <c r="H108" t="s">
        <v>28</v>
      </c>
      <c r="I108" t="s">
        <v>41</v>
      </c>
      <c r="J108">
        <v>3263</v>
      </c>
      <c r="K108">
        <v>39156</v>
      </c>
      <c r="L108">
        <v>3</v>
      </c>
      <c r="M108">
        <v>0</v>
      </c>
      <c r="N108">
        <v>0</v>
      </c>
      <c r="O108">
        <v>3</v>
      </c>
    </row>
    <row r="109" spans="1:15" x14ac:dyDescent="0.3">
      <c r="A109">
        <v>108</v>
      </c>
      <c r="B109" t="s">
        <v>205</v>
      </c>
      <c r="C109" t="s">
        <v>206</v>
      </c>
      <c r="D109" t="s">
        <v>306</v>
      </c>
      <c r="E109" s="1">
        <v>43487</v>
      </c>
      <c r="F109" s="2">
        <f ca="1">DATEDIF(EmpTable[[#This Row],[Start Date]],TODAY(),"Y")</f>
        <v>7</v>
      </c>
      <c r="G109" t="s">
        <v>16</v>
      </c>
      <c r="H109" t="s">
        <v>28</v>
      </c>
      <c r="I109" t="s">
        <v>41</v>
      </c>
      <c r="J109">
        <v>1258</v>
      </c>
      <c r="K109">
        <v>15096</v>
      </c>
      <c r="L109">
        <v>5</v>
      </c>
      <c r="M109">
        <v>0</v>
      </c>
      <c r="N109">
        <v>0</v>
      </c>
      <c r="O109">
        <v>5</v>
      </c>
    </row>
    <row r="110" spans="1:15" x14ac:dyDescent="0.3">
      <c r="A110">
        <v>109</v>
      </c>
      <c r="B110" t="s">
        <v>207</v>
      </c>
      <c r="C110" t="s">
        <v>208</v>
      </c>
      <c r="D110" t="s">
        <v>306</v>
      </c>
      <c r="E110" s="1">
        <v>44085</v>
      </c>
      <c r="F110" s="2">
        <f ca="1">DATEDIF(EmpTable[[#This Row],[Start Date]],TODAY(),"Y")</f>
        <v>5</v>
      </c>
      <c r="G110" t="s">
        <v>57</v>
      </c>
      <c r="H110" t="s">
        <v>17</v>
      </c>
      <c r="I110" t="s">
        <v>35</v>
      </c>
      <c r="J110">
        <v>2527</v>
      </c>
      <c r="K110">
        <v>30324</v>
      </c>
      <c r="L110">
        <v>3</v>
      </c>
      <c r="M110">
        <v>3</v>
      </c>
      <c r="N110">
        <v>0</v>
      </c>
      <c r="O110">
        <v>16</v>
      </c>
    </row>
    <row r="111" spans="1:15" x14ac:dyDescent="0.3">
      <c r="A111">
        <v>110</v>
      </c>
      <c r="B111" t="s">
        <v>209</v>
      </c>
      <c r="C111" t="s">
        <v>210</v>
      </c>
      <c r="D111" t="s">
        <v>306</v>
      </c>
      <c r="E111" s="1">
        <v>43362</v>
      </c>
      <c r="F111" s="2">
        <f ca="1">DATEDIF(EmpTable[[#This Row],[Start Date]],TODAY(),"Y")</f>
        <v>7</v>
      </c>
      <c r="G111" t="s">
        <v>57</v>
      </c>
      <c r="H111" t="s">
        <v>17</v>
      </c>
      <c r="I111" t="s">
        <v>41</v>
      </c>
      <c r="J111">
        <v>3017</v>
      </c>
      <c r="K111">
        <v>36204</v>
      </c>
      <c r="L111">
        <v>4.5</v>
      </c>
      <c r="M111">
        <v>0</v>
      </c>
      <c r="N111">
        <v>4</v>
      </c>
      <c r="O111">
        <v>4</v>
      </c>
    </row>
    <row r="112" spans="1:15" x14ac:dyDescent="0.3">
      <c r="A112">
        <v>111</v>
      </c>
      <c r="B112" t="s">
        <v>211</v>
      </c>
      <c r="C112" t="s">
        <v>212</v>
      </c>
      <c r="D112" t="s">
        <v>306</v>
      </c>
      <c r="E112" s="1">
        <v>42480</v>
      </c>
      <c r="F112" s="2">
        <f ca="1">DATEDIF(EmpTable[[#This Row],[Start Date]],TODAY(),"Y")</f>
        <v>9</v>
      </c>
      <c r="G112" t="s">
        <v>40</v>
      </c>
      <c r="H112" t="s">
        <v>21</v>
      </c>
      <c r="I112" t="s">
        <v>35</v>
      </c>
      <c r="J112">
        <v>1639</v>
      </c>
      <c r="K112">
        <v>19668</v>
      </c>
      <c r="L112">
        <v>5</v>
      </c>
      <c r="M112">
        <v>0</v>
      </c>
      <c r="N112">
        <v>0</v>
      </c>
      <c r="O112">
        <v>2</v>
      </c>
    </row>
    <row r="113" spans="1:15" x14ac:dyDescent="0.3">
      <c r="A113">
        <v>112</v>
      </c>
      <c r="B113" t="s">
        <v>185</v>
      </c>
      <c r="C113" t="s">
        <v>213</v>
      </c>
      <c r="D113" t="s">
        <v>31</v>
      </c>
      <c r="E113" s="1">
        <v>43742</v>
      </c>
      <c r="F113" s="2">
        <f ca="1">DATEDIF(EmpTable[[#This Row],[Start Date]],TODAY(),"Y")</f>
        <v>6</v>
      </c>
      <c r="G113" t="s">
        <v>49</v>
      </c>
      <c r="H113" t="s">
        <v>17</v>
      </c>
      <c r="I113" t="s">
        <v>41</v>
      </c>
      <c r="J113">
        <v>1867</v>
      </c>
      <c r="K113">
        <v>22404</v>
      </c>
      <c r="L113">
        <v>3</v>
      </c>
      <c r="M113">
        <v>1</v>
      </c>
      <c r="N113">
        <v>0</v>
      </c>
      <c r="O113">
        <v>3</v>
      </c>
    </row>
    <row r="114" spans="1:15" x14ac:dyDescent="0.3">
      <c r="A114">
        <v>113</v>
      </c>
      <c r="B114" t="s">
        <v>214</v>
      </c>
      <c r="C114" t="s">
        <v>215</v>
      </c>
      <c r="D114" t="s">
        <v>306</v>
      </c>
      <c r="E114" s="1">
        <v>42659</v>
      </c>
      <c r="F114" s="2">
        <f ca="1">DATEDIF(EmpTable[[#This Row],[Start Date]],TODAY(),"Y")</f>
        <v>9</v>
      </c>
      <c r="G114" t="s">
        <v>76</v>
      </c>
      <c r="H114" t="s">
        <v>28</v>
      </c>
      <c r="I114" t="s">
        <v>41</v>
      </c>
      <c r="J114">
        <v>2314</v>
      </c>
      <c r="K114">
        <v>27768</v>
      </c>
      <c r="L114">
        <v>2</v>
      </c>
      <c r="M114">
        <v>0</v>
      </c>
      <c r="N114">
        <v>3</v>
      </c>
      <c r="O114">
        <v>5</v>
      </c>
    </row>
    <row r="115" spans="1:15" x14ac:dyDescent="0.3">
      <c r="A115">
        <v>114</v>
      </c>
      <c r="B115" t="s">
        <v>216</v>
      </c>
      <c r="C115" t="s">
        <v>217</v>
      </c>
      <c r="D115" t="s">
        <v>306</v>
      </c>
      <c r="E115" s="1">
        <v>42770</v>
      </c>
      <c r="F115" s="2">
        <f ca="1">DATEDIF(EmpTable[[#This Row],[Start Date]],TODAY(),"Y")</f>
        <v>9</v>
      </c>
      <c r="G115" t="s">
        <v>16</v>
      </c>
      <c r="H115" t="s">
        <v>21</v>
      </c>
      <c r="I115" t="s">
        <v>41</v>
      </c>
      <c r="J115">
        <v>2679</v>
      </c>
      <c r="K115">
        <v>32148</v>
      </c>
      <c r="L115">
        <v>5</v>
      </c>
      <c r="M115">
        <v>6</v>
      </c>
      <c r="N115">
        <v>0</v>
      </c>
      <c r="O115">
        <v>1</v>
      </c>
    </row>
    <row r="116" spans="1:15" x14ac:dyDescent="0.3">
      <c r="A116">
        <v>115</v>
      </c>
      <c r="B116" t="s">
        <v>218</v>
      </c>
      <c r="C116" t="s">
        <v>219</v>
      </c>
      <c r="D116" t="s">
        <v>31</v>
      </c>
      <c r="E116" s="1">
        <v>43618</v>
      </c>
      <c r="F116" s="2">
        <f ca="1">DATEDIF(EmpTable[[#This Row],[Start Date]],TODAY(),"Y")</f>
        <v>6</v>
      </c>
      <c r="G116" t="s">
        <v>16</v>
      </c>
      <c r="H116" t="s">
        <v>17</v>
      </c>
      <c r="I116" t="s">
        <v>35</v>
      </c>
      <c r="J116">
        <v>3166</v>
      </c>
      <c r="K116">
        <v>37992</v>
      </c>
      <c r="L116">
        <v>4.5</v>
      </c>
      <c r="M116">
        <v>5</v>
      </c>
      <c r="N116">
        <v>0</v>
      </c>
      <c r="O116">
        <v>4</v>
      </c>
    </row>
    <row r="117" spans="1:15" x14ac:dyDescent="0.3">
      <c r="A117">
        <v>116</v>
      </c>
      <c r="B117" t="s">
        <v>145</v>
      </c>
      <c r="C117" t="s">
        <v>220</v>
      </c>
      <c r="D117" t="s">
        <v>31</v>
      </c>
      <c r="E117" s="1">
        <v>43527</v>
      </c>
      <c r="F117" s="2">
        <f ca="1">DATEDIF(EmpTable[[#This Row],[Start Date]],TODAY(),"Y")</f>
        <v>6</v>
      </c>
      <c r="G117" t="s">
        <v>27</v>
      </c>
      <c r="H117" t="s">
        <v>28</v>
      </c>
      <c r="I117" t="s">
        <v>41</v>
      </c>
      <c r="J117">
        <v>2429</v>
      </c>
      <c r="K117">
        <v>29148</v>
      </c>
      <c r="L117">
        <v>5</v>
      </c>
      <c r="M117">
        <v>0</v>
      </c>
      <c r="N117">
        <v>0</v>
      </c>
      <c r="O117">
        <v>7</v>
      </c>
    </row>
    <row r="118" spans="1:15" x14ac:dyDescent="0.3">
      <c r="A118">
        <v>117</v>
      </c>
      <c r="B118" t="s">
        <v>32</v>
      </c>
      <c r="C118" t="s">
        <v>221</v>
      </c>
      <c r="D118" t="s">
        <v>31</v>
      </c>
      <c r="E118" s="1">
        <v>43744</v>
      </c>
      <c r="F118" s="2">
        <f ca="1">DATEDIF(EmpTable[[#This Row],[Start Date]],TODAY(),"Y")</f>
        <v>6</v>
      </c>
      <c r="G118" t="s">
        <v>27</v>
      </c>
      <c r="H118" t="s">
        <v>28</v>
      </c>
      <c r="I118" t="s">
        <v>41</v>
      </c>
      <c r="J118">
        <v>1865</v>
      </c>
      <c r="K118">
        <v>22380</v>
      </c>
      <c r="L118">
        <v>4.5</v>
      </c>
      <c r="M118">
        <v>0</v>
      </c>
      <c r="N118">
        <v>0</v>
      </c>
      <c r="O118">
        <v>4</v>
      </c>
    </row>
    <row r="119" spans="1:15" x14ac:dyDescent="0.3">
      <c r="A119">
        <v>118</v>
      </c>
      <c r="B119" t="s">
        <v>32</v>
      </c>
      <c r="C119" t="s">
        <v>222</v>
      </c>
      <c r="D119" t="s">
        <v>31</v>
      </c>
      <c r="E119" s="1">
        <v>43146</v>
      </c>
      <c r="F119" s="2">
        <f ca="1">DATEDIF(EmpTable[[#This Row],[Start Date]],TODAY(),"Y")</f>
        <v>8</v>
      </c>
      <c r="G119" t="s">
        <v>40</v>
      </c>
      <c r="H119" t="s">
        <v>28</v>
      </c>
      <c r="I119" t="s">
        <v>59</v>
      </c>
      <c r="J119">
        <v>868</v>
      </c>
      <c r="K119">
        <v>10416</v>
      </c>
      <c r="L119">
        <v>4.5</v>
      </c>
      <c r="M119">
        <v>2</v>
      </c>
      <c r="N119">
        <v>0</v>
      </c>
      <c r="O119">
        <v>2</v>
      </c>
    </row>
    <row r="120" spans="1:15" x14ac:dyDescent="0.3">
      <c r="A120">
        <v>119</v>
      </c>
      <c r="B120" t="s">
        <v>32</v>
      </c>
      <c r="C120" t="s">
        <v>223</v>
      </c>
      <c r="D120" t="s">
        <v>31</v>
      </c>
      <c r="E120" s="1">
        <v>43558</v>
      </c>
      <c r="F120" s="2">
        <f ca="1">DATEDIF(EmpTable[[#This Row],[Start Date]],TODAY(),"Y")</f>
        <v>6</v>
      </c>
      <c r="G120" t="s">
        <v>27</v>
      </c>
      <c r="H120" t="s">
        <v>17</v>
      </c>
      <c r="I120" t="s">
        <v>18</v>
      </c>
      <c r="J120">
        <v>3411</v>
      </c>
      <c r="K120">
        <v>40932</v>
      </c>
      <c r="L120">
        <v>5</v>
      </c>
      <c r="M120">
        <v>4</v>
      </c>
      <c r="N120">
        <v>0</v>
      </c>
      <c r="O120">
        <v>2</v>
      </c>
    </row>
    <row r="121" spans="1:15" x14ac:dyDescent="0.3">
      <c r="A121">
        <v>120</v>
      </c>
      <c r="B121" t="s">
        <v>224</v>
      </c>
      <c r="C121" t="s">
        <v>225</v>
      </c>
      <c r="D121" t="s">
        <v>306</v>
      </c>
      <c r="E121" s="1">
        <v>42687</v>
      </c>
      <c r="F121" s="2">
        <f ca="1">DATEDIF(EmpTable[[#This Row],[Start Date]],TODAY(),"Y")</f>
        <v>9</v>
      </c>
      <c r="G121" t="s">
        <v>57</v>
      </c>
      <c r="H121" t="s">
        <v>47</v>
      </c>
      <c r="I121" t="s">
        <v>35</v>
      </c>
      <c r="J121">
        <v>3324</v>
      </c>
      <c r="K121">
        <v>39888</v>
      </c>
      <c r="L121">
        <v>3</v>
      </c>
      <c r="M121">
        <v>5</v>
      </c>
      <c r="N121">
        <v>0</v>
      </c>
      <c r="O121">
        <v>7</v>
      </c>
    </row>
    <row r="122" spans="1:15" x14ac:dyDescent="0.3">
      <c r="A122">
        <v>121</v>
      </c>
      <c r="B122" t="s">
        <v>226</v>
      </c>
      <c r="C122" t="s">
        <v>227</v>
      </c>
      <c r="D122" t="s">
        <v>31</v>
      </c>
      <c r="E122" s="1">
        <v>43762</v>
      </c>
      <c r="F122" s="2">
        <f ca="1">DATEDIF(EmpTable[[#This Row],[Start Date]],TODAY(),"Y")</f>
        <v>6</v>
      </c>
      <c r="G122" t="s">
        <v>27</v>
      </c>
      <c r="H122" t="s">
        <v>28</v>
      </c>
      <c r="I122" t="s">
        <v>41</v>
      </c>
      <c r="J122">
        <v>2715</v>
      </c>
      <c r="K122">
        <v>32580</v>
      </c>
      <c r="L122">
        <v>1</v>
      </c>
      <c r="M122">
        <v>0</v>
      </c>
      <c r="N122">
        <v>3</v>
      </c>
      <c r="O122">
        <v>3</v>
      </c>
    </row>
    <row r="123" spans="1:15" x14ac:dyDescent="0.3">
      <c r="A123">
        <v>122</v>
      </c>
      <c r="B123" t="s">
        <v>228</v>
      </c>
      <c r="C123" t="s">
        <v>229</v>
      </c>
      <c r="D123" t="s">
        <v>306</v>
      </c>
      <c r="E123" s="1">
        <v>43674</v>
      </c>
      <c r="F123" s="2">
        <f ca="1">DATEDIF(EmpTable[[#This Row],[Start Date]],TODAY(),"Y")</f>
        <v>6</v>
      </c>
      <c r="G123" t="s">
        <v>76</v>
      </c>
      <c r="H123" t="s">
        <v>28</v>
      </c>
      <c r="I123" t="s">
        <v>18</v>
      </c>
      <c r="J123">
        <v>2664</v>
      </c>
      <c r="K123">
        <v>31968</v>
      </c>
      <c r="L123">
        <v>4.5</v>
      </c>
      <c r="M123">
        <v>1</v>
      </c>
      <c r="N123">
        <v>0</v>
      </c>
      <c r="O123">
        <v>9</v>
      </c>
    </row>
    <row r="124" spans="1:15" x14ac:dyDescent="0.3">
      <c r="A124">
        <v>123</v>
      </c>
      <c r="B124" t="s">
        <v>194</v>
      </c>
      <c r="C124" t="s">
        <v>230</v>
      </c>
      <c r="D124" t="s">
        <v>31</v>
      </c>
      <c r="E124" s="1">
        <v>44134</v>
      </c>
      <c r="F124" s="2">
        <f ca="1">DATEDIF(EmpTable[[#This Row],[Start Date]],TODAY(),"Y")</f>
        <v>5</v>
      </c>
      <c r="G124" t="s">
        <v>16</v>
      </c>
      <c r="H124" t="s">
        <v>21</v>
      </c>
      <c r="I124" t="s">
        <v>41</v>
      </c>
      <c r="J124">
        <v>1801</v>
      </c>
      <c r="K124">
        <v>21612</v>
      </c>
      <c r="L124">
        <v>5</v>
      </c>
      <c r="M124">
        <v>0</v>
      </c>
      <c r="N124">
        <v>0</v>
      </c>
      <c r="O124">
        <v>82</v>
      </c>
    </row>
    <row r="125" spans="1:15" x14ac:dyDescent="0.3">
      <c r="A125">
        <v>124</v>
      </c>
      <c r="B125" t="s">
        <v>231</v>
      </c>
      <c r="C125" t="s">
        <v>232</v>
      </c>
      <c r="D125" t="s">
        <v>306</v>
      </c>
      <c r="E125" s="1">
        <v>43125</v>
      </c>
      <c r="F125" s="2">
        <f ca="1">DATEDIF(EmpTable[[#This Row],[Start Date]],TODAY(),"Y")</f>
        <v>8</v>
      </c>
      <c r="G125" t="s">
        <v>27</v>
      </c>
      <c r="H125" t="s">
        <v>28</v>
      </c>
      <c r="I125" t="s">
        <v>41</v>
      </c>
      <c r="J125">
        <v>1452</v>
      </c>
      <c r="K125">
        <v>17424</v>
      </c>
      <c r="L125">
        <v>3</v>
      </c>
      <c r="M125">
        <v>0</v>
      </c>
      <c r="N125">
        <v>0</v>
      </c>
      <c r="O125">
        <v>0</v>
      </c>
    </row>
    <row r="126" spans="1:15" x14ac:dyDescent="0.3">
      <c r="A126">
        <v>125</v>
      </c>
      <c r="B126" t="s">
        <v>233</v>
      </c>
      <c r="C126" t="s">
        <v>234</v>
      </c>
      <c r="D126" t="s">
        <v>31</v>
      </c>
      <c r="E126" s="1">
        <v>42914</v>
      </c>
      <c r="F126" s="2">
        <f ca="1">DATEDIF(EmpTable[[#This Row],[Start Date]],TODAY(),"Y")</f>
        <v>8</v>
      </c>
      <c r="G126" t="s">
        <v>16</v>
      </c>
      <c r="H126" t="s">
        <v>28</v>
      </c>
      <c r="I126" t="s">
        <v>35</v>
      </c>
      <c r="J126">
        <v>2358</v>
      </c>
      <c r="K126">
        <v>28296</v>
      </c>
      <c r="L126">
        <v>3</v>
      </c>
      <c r="M126">
        <v>0</v>
      </c>
      <c r="N126">
        <v>0</v>
      </c>
      <c r="O126">
        <v>14</v>
      </c>
    </row>
    <row r="127" spans="1:15" x14ac:dyDescent="0.3">
      <c r="A127">
        <v>126</v>
      </c>
      <c r="B127" t="s">
        <v>235</v>
      </c>
      <c r="C127" t="s">
        <v>236</v>
      </c>
      <c r="D127" t="s">
        <v>306</v>
      </c>
      <c r="E127" s="1">
        <v>43688</v>
      </c>
      <c r="F127" s="2">
        <f ca="1">DATEDIF(EmpTable[[#This Row],[Start Date]],TODAY(),"Y")</f>
        <v>6</v>
      </c>
      <c r="G127" t="s">
        <v>27</v>
      </c>
      <c r="H127" t="s">
        <v>17</v>
      </c>
      <c r="I127" t="s">
        <v>35</v>
      </c>
      <c r="J127">
        <v>784</v>
      </c>
      <c r="K127">
        <v>9408</v>
      </c>
      <c r="L127">
        <v>3</v>
      </c>
      <c r="M127">
        <v>2</v>
      </c>
      <c r="N127">
        <v>3</v>
      </c>
      <c r="O127">
        <v>9</v>
      </c>
    </row>
    <row r="128" spans="1:15" x14ac:dyDescent="0.3">
      <c r="A128">
        <v>127</v>
      </c>
      <c r="B128" t="s">
        <v>237</v>
      </c>
      <c r="C128" t="s">
        <v>238</v>
      </c>
      <c r="D128" t="s">
        <v>31</v>
      </c>
      <c r="E128" s="1">
        <v>42943</v>
      </c>
      <c r="F128" s="2">
        <f ca="1">DATEDIF(EmpTable[[#This Row],[Start Date]],TODAY(),"Y")</f>
        <v>8</v>
      </c>
      <c r="G128" t="s">
        <v>27</v>
      </c>
      <c r="H128" t="s">
        <v>17</v>
      </c>
      <c r="I128" t="s">
        <v>41</v>
      </c>
      <c r="J128">
        <v>1423</v>
      </c>
      <c r="K128">
        <v>17076</v>
      </c>
      <c r="L128">
        <v>3</v>
      </c>
      <c r="M128">
        <v>0</v>
      </c>
      <c r="N128">
        <v>0</v>
      </c>
      <c r="O128">
        <v>4</v>
      </c>
    </row>
    <row r="129" spans="1:15" x14ac:dyDescent="0.3">
      <c r="A129">
        <v>128</v>
      </c>
      <c r="B129" t="s">
        <v>157</v>
      </c>
      <c r="C129" t="s">
        <v>239</v>
      </c>
      <c r="D129" t="s">
        <v>31</v>
      </c>
      <c r="E129" s="1">
        <v>43309</v>
      </c>
      <c r="F129" s="2">
        <f ca="1">DATEDIF(EmpTable[[#This Row],[Start Date]],TODAY(),"Y")</f>
        <v>7</v>
      </c>
      <c r="G129" t="s">
        <v>199</v>
      </c>
      <c r="H129" t="s">
        <v>28</v>
      </c>
      <c r="I129" t="s">
        <v>41</v>
      </c>
      <c r="J129">
        <v>2174</v>
      </c>
      <c r="K129">
        <v>26088</v>
      </c>
      <c r="L129">
        <v>2</v>
      </c>
      <c r="M129">
        <v>6</v>
      </c>
      <c r="N129">
        <v>0</v>
      </c>
      <c r="O129">
        <v>10</v>
      </c>
    </row>
    <row r="130" spans="1:15" x14ac:dyDescent="0.3">
      <c r="A130">
        <v>129</v>
      </c>
      <c r="B130" t="s">
        <v>240</v>
      </c>
      <c r="C130" t="s">
        <v>241</v>
      </c>
      <c r="D130" t="s">
        <v>31</v>
      </c>
      <c r="E130" s="1">
        <v>44030</v>
      </c>
      <c r="F130" s="2">
        <f ca="1">DATEDIF(EmpTable[[#This Row],[Start Date]],TODAY(),"Y")</f>
        <v>5</v>
      </c>
      <c r="G130" t="s">
        <v>57</v>
      </c>
      <c r="H130" t="s">
        <v>17</v>
      </c>
      <c r="I130" t="s">
        <v>35</v>
      </c>
      <c r="J130">
        <v>2182</v>
      </c>
      <c r="K130">
        <v>26184</v>
      </c>
      <c r="L130">
        <v>4.5</v>
      </c>
      <c r="M130">
        <v>6</v>
      </c>
      <c r="N130">
        <v>0</v>
      </c>
      <c r="O130">
        <v>74</v>
      </c>
    </row>
    <row r="131" spans="1:15" x14ac:dyDescent="0.3">
      <c r="A131">
        <v>130</v>
      </c>
      <c r="B131" t="s">
        <v>242</v>
      </c>
      <c r="C131" t="s">
        <v>243</v>
      </c>
      <c r="D131" t="s">
        <v>306</v>
      </c>
      <c r="E131" s="1">
        <v>43675</v>
      </c>
      <c r="F131" s="2">
        <f ca="1">DATEDIF(EmpTable[[#This Row],[Start Date]],TODAY(),"Y")</f>
        <v>6</v>
      </c>
      <c r="G131" t="s">
        <v>16</v>
      </c>
      <c r="H131" t="s">
        <v>17</v>
      </c>
      <c r="I131" t="s">
        <v>41</v>
      </c>
      <c r="J131">
        <v>2437</v>
      </c>
      <c r="K131">
        <v>29244</v>
      </c>
      <c r="L131">
        <v>3</v>
      </c>
      <c r="M131">
        <v>0</v>
      </c>
      <c r="N131">
        <v>0</v>
      </c>
      <c r="O131">
        <v>2</v>
      </c>
    </row>
    <row r="132" spans="1:15" x14ac:dyDescent="0.3">
      <c r="A132">
        <v>131</v>
      </c>
      <c r="B132" t="s">
        <v>58</v>
      </c>
      <c r="C132" t="s">
        <v>244</v>
      </c>
      <c r="D132" t="s">
        <v>306</v>
      </c>
      <c r="E132" s="1">
        <v>43726</v>
      </c>
      <c r="F132" s="2">
        <f ca="1">DATEDIF(EmpTable[[#This Row],[Start Date]],TODAY(),"Y")</f>
        <v>6</v>
      </c>
      <c r="G132" t="s">
        <v>16</v>
      </c>
      <c r="H132" t="s">
        <v>17</v>
      </c>
      <c r="I132" t="s">
        <v>41</v>
      </c>
      <c r="J132">
        <v>926</v>
      </c>
      <c r="K132">
        <v>11112</v>
      </c>
      <c r="L132">
        <v>2</v>
      </c>
      <c r="M132">
        <v>3</v>
      </c>
      <c r="N132">
        <v>0</v>
      </c>
      <c r="O132">
        <v>1</v>
      </c>
    </row>
    <row r="133" spans="1:15" x14ac:dyDescent="0.3">
      <c r="A133">
        <v>132</v>
      </c>
      <c r="B133" t="s">
        <v>245</v>
      </c>
      <c r="C133" t="s">
        <v>246</v>
      </c>
      <c r="D133" t="s">
        <v>31</v>
      </c>
      <c r="E133" s="1">
        <v>42765</v>
      </c>
      <c r="F133" s="2">
        <f ca="1">DATEDIF(EmpTable[[#This Row],[Start Date]],TODAY(),"Y")</f>
        <v>9</v>
      </c>
      <c r="G133" t="s">
        <v>57</v>
      </c>
      <c r="H133" t="s">
        <v>28</v>
      </c>
      <c r="I133" t="s">
        <v>18</v>
      </c>
      <c r="J133">
        <v>1506</v>
      </c>
      <c r="K133">
        <v>18072</v>
      </c>
      <c r="L133">
        <v>3</v>
      </c>
      <c r="M133">
        <v>0</v>
      </c>
      <c r="N133">
        <v>0</v>
      </c>
      <c r="O133">
        <v>1</v>
      </c>
    </row>
    <row r="134" spans="1:15" x14ac:dyDescent="0.3">
      <c r="A134">
        <v>133</v>
      </c>
      <c r="B134" t="s">
        <v>32</v>
      </c>
      <c r="C134" t="s">
        <v>164</v>
      </c>
      <c r="D134" t="s">
        <v>31</v>
      </c>
      <c r="E134" s="1">
        <v>43103</v>
      </c>
      <c r="F134" s="2">
        <f ca="1">DATEDIF(EmpTable[[#This Row],[Start Date]],TODAY(),"Y")</f>
        <v>8</v>
      </c>
      <c r="G134" t="s">
        <v>49</v>
      </c>
      <c r="H134" t="s">
        <v>21</v>
      </c>
      <c r="I134" t="s">
        <v>35</v>
      </c>
      <c r="J134">
        <v>3159</v>
      </c>
      <c r="K134">
        <v>37908</v>
      </c>
      <c r="L134">
        <v>5</v>
      </c>
      <c r="M134">
        <v>0</v>
      </c>
      <c r="N134">
        <v>0</v>
      </c>
      <c r="O134">
        <v>10</v>
      </c>
    </row>
    <row r="135" spans="1:15" x14ac:dyDescent="0.3">
      <c r="A135">
        <v>134</v>
      </c>
      <c r="B135" t="s">
        <v>247</v>
      </c>
      <c r="C135" t="s">
        <v>248</v>
      </c>
      <c r="D135" t="s">
        <v>31</v>
      </c>
      <c r="E135" s="1">
        <v>42982</v>
      </c>
      <c r="F135" s="2">
        <f ca="1">DATEDIF(EmpTable[[#This Row],[Start Date]],TODAY(),"Y")</f>
        <v>8</v>
      </c>
      <c r="G135" t="s">
        <v>76</v>
      </c>
      <c r="H135" t="s">
        <v>47</v>
      </c>
      <c r="I135" t="s">
        <v>35</v>
      </c>
      <c r="J135">
        <v>1117</v>
      </c>
      <c r="K135">
        <v>13404</v>
      </c>
      <c r="L135">
        <v>1</v>
      </c>
      <c r="M135">
        <v>0</v>
      </c>
      <c r="N135">
        <v>0</v>
      </c>
      <c r="O135">
        <v>3</v>
      </c>
    </row>
    <row r="136" spans="1:15" x14ac:dyDescent="0.3">
      <c r="A136">
        <v>135</v>
      </c>
      <c r="B136" t="s">
        <v>249</v>
      </c>
      <c r="C136" t="s">
        <v>250</v>
      </c>
      <c r="D136" t="s">
        <v>306</v>
      </c>
      <c r="E136" s="1">
        <v>43265</v>
      </c>
      <c r="F136" s="2">
        <f ca="1">DATEDIF(EmpTable[[#This Row],[Start Date]],TODAY(),"Y")</f>
        <v>7</v>
      </c>
      <c r="G136" t="s">
        <v>16</v>
      </c>
      <c r="H136" t="s">
        <v>47</v>
      </c>
      <c r="I136" t="s">
        <v>18</v>
      </c>
      <c r="J136">
        <v>2379</v>
      </c>
      <c r="K136">
        <v>28548</v>
      </c>
      <c r="L136">
        <v>4.5</v>
      </c>
      <c r="M136">
        <v>0</v>
      </c>
      <c r="N136">
        <v>0</v>
      </c>
      <c r="O136">
        <v>7</v>
      </c>
    </row>
    <row r="137" spans="1:15" x14ac:dyDescent="0.3">
      <c r="A137">
        <v>136</v>
      </c>
      <c r="B137" t="s">
        <v>251</v>
      </c>
      <c r="C137" t="s">
        <v>215</v>
      </c>
      <c r="D137" t="s">
        <v>31</v>
      </c>
      <c r="E137" s="1">
        <v>43797</v>
      </c>
      <c r="F137" s="2">
        <f ca="1">DATEDIF(EmpTable[[#This Row],[Start Date]],TODAY(),"Y")</f>
        <v>6</v>
      </c>
      <c r="G137" t="s">
        <v>27</v>
      </c>
      <c r="H137" t="s">
        <v>17</v>
      </c>
      <c r="I137" t="s">
        <v>41</v>
      </c>
      <c r="J137">
        <v>2372</v>
      </c>
      <c r="K137">
        <v>28464</v>
      </c>
      <c r="L137">
        <v>5</v>
      </c>
      <c r="M137">
        <v>4</v>
      </c>
      <c r="N137">
        <v>1</v>
      </c>
      <c r="O137">
        <v>6</v>
      </c>
    </row>
    <row r="138" spans="1:15" x14ac:dyDescent="0.3">
      <c r="A138">
        <v>137</v>
      </c>
      <c r="B138" t="s">
        <v>252</v>
      </c>
      <c r="C138" t="s">
        <v>253</v>
      </c>
      <c r="D138" t="s">
        <v>31</v>
      </c>
      <c r="E138" s="1">
        <v>43870</v>
      </c>
      <c r="F138" s="2">
        <f ca="1">DATEDIF(EmpTable[[#This Row],[Start Date]],TODAY(),"Y")</f>
        <v>6</v>
      </c>
      <c r="G138" t="s">
        <v>76</v>
      </c>
      <c r="H138" t="s">
        <v>17</v>
      </c>
      <c r="I138" t="s">
        <v>35</v>
      </c>
      <c r="J138">
        <v>2908</v>
      </c>
      <c r="K138">
        <v>34896</v>
      </c>
      <c r="L138">
        <v>3</v>
      </c>
      <c r="M138">
        <v>0</v>
      </c>
      <c r="N138">
        <v>0</v>
      </c>
      <c r="O138">
        <v>12</v>
      </c>
    </row>
    <row r="139" spans="1:15" x14ac:dyDescent="0.3">
      <c r="A139">
        <v>138</v>
      </c>
      <c r="B139" t="s">
        <v>171</v>
      </c>
      <c r="C139" t="s">
        <v>254</v>
      </c>
      <c r="D139" t="s">
        <v>306</v>
      </c>
      <c r="E139" s="1">
        <v>43963</v>
      </c>
      <c r="F139" s="2">
        <f ca="1">DATEDIF(EmpTable[[#This Row],[Start Date]],TODAY(),"Y")</f>
        <v>5</v>
      </c>
      <c r="G139" t="s">
        <v>92</v>
      </c>
      <c r="H139" t="s">
        <v>17</v>
      </c>
      <c r="I139" t="s">
        <v>41</v>
      </c>
      <c r="J139">
        <v>2019</v>
      </c>
      <c r="K139">
        <v>24228</v>
      </c>
      <c r="L139">
        <v>3</v>
      </c>
      <c r="M139">
        <v>5</v>
      </c>
      <c r="N139">
        <v>2</v>
      </c>
      <c r="O139">
        <v>15</v>
      </c>
    </row>
    <row r="140" spans="1:15" x14ac:dyDescent="0.3">
      <c r="A140">
        <v>139</v>
      </c>
      <c r="B140" t="s">
        <v>218</v>
      </c>
      <c r="C140" t="s">
        <v>255</v>
      </c>
      <c r="D140" t="s">
        <v>31</v>
      </c>
      <c r="E140" s="1">
        <v>43249</v>
      </c>
      <c r="F140" s="2">
        <f ca="1">DATEDIF(EmpTable[[#This Row],[Start Date]],TODAY(),"Y")</f>
        <v>7</v>
      </c>
      <c r="G140" t="s">
        <v>27</v>
      </c>
      <c r="H140" t="s">
        <v>17</v>
      </c>
      <c r="I140" t="s">
        <v>35</v>
      </c>
      <c r="J140">
        <v>877</v>
      </c>
      <c r="K140">
        <v>10524</v>
      </c>
      <c r="L140">
        <v>1</v>
      </c>
      <c r="M140">
        <v>0</v>
      </c>
      <c r="N140">
        <v>0</v>
      </c>
      <c r="O140">
        <v>0</v>
      </c>
    </row>
    <row r="141" spans="1:15" x14ac:dyDescent="0.3">
      <c r="A141">
        <v>140</v>
      </c>
      <c r="B141" t="s">
        <v>58</v>
      </c>
      <c r="C141" t="s">
        <v>256</v>
      </c>
      <c r="D141" t="s">
        <v>31</v>
      </c>
      <c r="E141" s="1">
        <v>43546</v>
      </c>
      <c r="F141" s="2">
        <f ca="1">DATEDIF(EmpTable[[#This Row],[Start Date]],TODAY(),"Y")</f>
        <v>6</v>
      </c>
      <c r="G141" t="s">
        <v>57</v>
      </c>
      <c r="H141" t="s">
        <v>17</v>
      </c>
      <c r="I141" t="s">
        <v>35</v>
      </c>
      <c r="J141">
        <v>1043</v>
      </c>
      <c r="K141">
        <v>12516</v>
      </c>
      <c r="L141">
        <v>5</v>
      </c>
      <c r="M141">
        <v>0</v>
      </c>
      <c r="N141">
        <v>0</v>
      </c>
      <c r="O141">
        <v>0</v>
      </c>
    </row>
    <row r="142" spans="1:15" x14ac:dyDescent="0.3">
      <c r="A142">
        <v>141</v>
      </c>
      <c r="B142" t="s">
        <v>257</v>
      </c>
      <c r="C142" t="s">
        <v>258</v>
      </c>
      <c r="D142" t="s">
        <v>306</v>
      </c>
      <c r="E142" s="1">
        <v>43698</v>
      </c>
      <c r="F142" s="2">
        <f ca="1">DATEDIF(EmpTable[[#This Row],[Start Date]],TODAY(),"Y")</f>
        <v>6</v>
      </c>
      <c r="G142" t="s">
        <v>49</v>
      </c>
      <c r="H142" t="s">
        <v>28</v>
      </c>
      <c r="I142" t="s">
        <v>41</v>
      </c>
      <c r="J142">
        <v>3258</v>
      </c>
      <c r="K142">
        <v>39096</v>
      </c>
      <c r="L142">
        <v>3</v>
      </c>
      <c r="M142">
        <v>3</v>
      </c>
      <c r="N142">
        <v>0</v>
      </c>
      <c r="O142">
        <v>0</v>
      </c>
    </row>
    <row r="143" spans="1:15" x14ac:dyDescent="0.3">
      <c r="A143">
        <v>142</v>
      </c>
      <c r="B143" t="s">
        <v>259</v>
      </c>
      <c r="C143" t="s">
        <v>79</v>
      </c>
      <c r="D143" t="s">
        <v>306</v>
      </c>
      <c r="E143" s="1">
        <v>44165</v>
      </c>
      <c r="F143" s="2">
        <f ca="1">DATEDIF(EmpTable[[#This Row],[Start Date]],TODAY(),"Y")</f>
        <v>5</v>
      </c>
      <c r="G143" t="s">
        <v>76</v>
      </c>
      <c r="H143" t="s">
        <v>21</v>
      </c>
      <c r="I143" t="s">
        <v>35</v>
      </c>
      <c r="J143">
        <v>976</v>
      </c>
      <c r="K143">
        <v>11712</v>
      </c>
      <c r="L143">
        <v>5</v>
      </c>
      <c r="M143">
        <v>5</v>
      </c>
      <c r="N143">
        <v>0</v>
      </c>
      <c r="O143">
        <v>2</v>
      </c>
    </row>
    <row r="144" spans="1:15" x14ac:dyDescent="0.3">
      <c r="A144">
        <v>143</v>
      </c>
      <c r="B144" t="s">
        <v>260</v>
      </c>
      <c r="C144" t="s">
        <v>137</v>
      </c>
      <c r="D144" t="s">
        <v>306</v>
      </c>
      <c r="E144" s="1">
        <v>43571</v>
      </c>
      <c r="F144" s="2">
        <f ca="1">DATEDIF(EmpTable[[#This Row],[Start Date]],TODAY(),"Y")</f>
        <v>6</v>
      </c>
      <c r="G144" t="s">
        <v>40</v>
      </c>
      <c r="H144" t="s">
        <v>17</v>
      </c>
      <c r="I144" t="s">
        <v>41</v>
      </c>
      <c r="J144">
        <v>3096</v>
      </c>
      <c r="K144">
        <v>37152</v>
      </c>
      <c r="L144">
        <v>2</v>
      </c>
      <c r="M144">
        <v>0</v>
      </c>
      <c r="N144">
        <v>0</v>
      </c>
      <c r="O144">
        <v>8</v>
      </c>
    </row>
    <row r="145" spans="1:15" x14ac:dyDescent="0.3">
      <c r="A145">
        <v>144</v>
      </c>
      <c r="B145" t="s">
        <v>120</v>
      </c>
      <c r="C145" t="s">
        <v>261</v>
      </c>
      <c r="D145" t="s">
        <v>306</v>
      </c>
      <c r="E145" s="1">
        <v>43551</v>
      </c>
      <c r="F145" s="2">
        <f ca="1">DATEDIF(EmpTable[[#This Row],[Start Date]],TODAY(),"Y")</f>
        <v>6</v>
      </c>
      <c r="G145" t="s">
        <v>75</v>
      </c>
      <c r="H145" t="s">
        <v>17</v>
      </c>
      <c r="I145" t="s">
        <v>18</v>
      </c>
      <c r="J145">
        <v>1985</v>
      </c>
      <c r="K145">
        <v>23820</v>
      </c>
      <c r="L145">
        <v>3</v>
      </c>
      <c r="M145">
        <v>6</v>
      </c>
      <c r="N145">
        <v>2</v>
      </c>
      <c r="O145">
        <v>6</v>
      </c>
    </row>
    <row r="146" spans="1:15" x14ac:dyDescent="0.3">
      <c r="A146">
        <v>145</v>
      </c>
      <c r="B146" t="s">
        <v>29</v>
      </c>
      <c r="C146" t="s">
        <v>32</v>
      </c>
      <c r="D146" t="s">
        <v>31</v>
      </c>
      <c r="E146" s="1">
        <v>43850</v>
      </c>
      <c r="F146" s="2">
        <f ca="1">DATEDIF(EmpTable[[#This Row],[Start Date]],TODAY(),"Y")</f>
        <v>6</v>
      </c>
      <c r="G146" t="s">
        <v>34</v>
      </c>
      <c r="H146" t="s">
        <v>28</v>
      </c>
      <c r="I146" t="s">
        <v>41</v>
      </c>
      <c r="J146">
        <v>2371</v>
      </c>
      <c r="K146">
        <v>28452</v>
      </c>
      <c r="L146">
        <v>5</v>
      </c>
      <c r="M146">
        <v>0</v>
      </c>
      <c r="N146">
        <v>0</v>
      </c>
      <c r="O146">
        <v>1</v>
      </c>
    </row>
    <row r="147" spans="1:15" x14ac:dyDescent="0.3">
      <c r="A147">
        <v>146</v>
      </c>
      <c r="B147" t="s">
        <v>262</v>
      </c>
      <c r="C147" t="s">
        <v>263</v>
      </c>
      <c r="D147" t="s">
        <v>31</v>
      </c>
      <c r="E147" s="1">
        <v>43520</v>
      </c>
      <c r="F147" s="2">
        <f ca="1">DATEDIF(EmpTable[[#This Row],[Start Date]],TODAY(),"Y")</f>
        <v>7</v>
      </c>
      <c r="G147" t="s">
        <v>76</v>
      </c>
      <c r="H147" t="s">
        <v>17</v>
      </c>
      <c r="I147" t="s">
        <v>35</v>
      </c>
      <c r="J147">
        <v>2562</v>
      </c>
      <c r="K147">
        <v>30744</v>
      </c>
      <c r="L147">
        <v>2</v>
      </c>
      <c r="M147">
        <v>4</v>
      </c>
      <c r="N147">
        <v>0</v>
      </c>
      <c r="O147">
        <v>3</v>
      </c>
    </row>
    <row r="148" spans="1:15" x14ac:dyDescent="0.3">
      <c r="A148">
        <v>147</v>
      </c>
      <c r="B148" t="s">
        <v>264</v>
      </c>
      <c r="C148" t="s">
        <v>265</v>
      </c>
      <c r="D148" t="s">
        <v>306</v>
      </c>
      <c r="E148" s="1">
        <v>44071</v>
      </c>
      <c r="F148" s="2">
        <f ca="1">DATEDIF(EmpTable[[#This Row],[Start Date]],TODAY(),"Y")</f>
        <v>5</v>
      </c>
      <c r="G148" t="s">
        <v>16</v>
      </c>
      <c r="H148" t="s">
        <v>47</v>
      </c>
      <c r="I148" t="s">
        <v>41</v>
      </c>
      <c r="J148">
        <v>1254</v>
      </c>
      <c r="K148">
        <v>15048</v>
      </c>
      <c r="L148">
        <v>5</v>
      </c>
      <c r="M148">
        <v>0</v>
      </c>
      <c r="N148">
        <v>0</v>
      </c>
      <c r="O148">
        <v>8</v>
      </c>
    </row>
    <row r="149" spans="1:15" x14ac:dyDescent="0.3">
      <c r="A149">
        <v>148</v>
      </c>
      <c r="B149" t="s">
        <v>19</v>
      </c>
      <c r="C149" t="s">
        <v>266</v>
      </c>
      <c r="D149" t="s">
        <v>31</v>
      </c>
      <c r="E149" s="1">
        <v>43173</v>
      </c>
      <c r="F149" s="2">
        <f ca="1">DATEDIF(EmpTable[[#This Row],[Start Date]],TODAY(),"Y")</f>
        <v>7</v>
      </c>
      <c r="G149" t="s">
        <v>27</v>
      </c>
      <c r="H149" t="s">
        <v>47</v>
      </c>
      <c r="I149" t="s">
        <v>41</v>
      </c>
      <c r="J149">
        <v>793</v>
      </c>
      <c r="K149">
        <v>9516</v>
      </c>
      <c r="L149">
        <v>5</v>
      </c>
      <c r="M149">
        <v>6</v>
      </c>
      <c r="N149">
        <v>0</v>
      </c>
      <c r="O149">
        <v>2</v>
      </c>
    </row>
    <row r="150" spans="1:15" x14ac:dyDescent="0.3">
      <c r="A150">
        <v>149</v>
      </c>
      <c r="B150" t="s">
        <v>267</v>
      </c>
      <c r="C150" t="s">
        <v>268</v>
      </c>
      <c r="D150" t="s">
        <v>306</v>
      </c>
      <c r="E150" s="1">
        <v>43007</v>
      </c>
      <c r="F150" s="2">
        <f ca="1">DATEDIF(EmpTable[[#This Row],[Start Date]],TODAY(),"Y")</f>
        <v>8</v>
      </c>
      <c r="G150" t="s">
        <v>117</v>
      </c>
      <c r="H150" t="s">
        <v>17</v>
      </c>
      <c r="I150" t="s">
        <v>18</v>
      </c>
      <c r="J150">
        <v>2416</v>
      </c>
      <c r="K150">
        <v>28992</v>
      </c>
      <c r="L150">
        <v>3</v>
      </c>
      <c r="M150">
        <v>0</v>
      </c>
      <c r="N150">
        <v>0</v>
      </c>
      <c r="O150">
        <v>2</v>
      </c>
    </row>
    <row r="151" spans="1:15" x14ac:dyDescent="0.3">
      <c r="A151">
        <v>150</v>
      </c>
      <c r="B151" t="s">
        <v>269</v>
      </c>
      <c r="C151" t="s">
        <v>270</v>
      </c>
      <c r="D151" t="s">
        <v>31</v>
      </c>
      <c r="E151" s="1">
        <v>42773</v>
      </c>
      <c r="F151" s="2">
        <f ca="1">DATEDIF(EmpTable[[#This Row],[Start Date]],TODAY(),"Y")</f>
        <v>9</v>
      </c>
      <c r="G151" t="s">
        <v>52</v>
      </c>
      <c r="H151" t="s">
        <v>47</v>
      </c>
      <c r="I151" t="s">
        <v>35</v>
      </c>
      <c r="J151">
        <v>822</v>
      </c>
      <c r="K151">
        <v>9864</v>
      </c>
      <c r="L151">
        <v>5</v>
      </c>
      <c r="M151">
        <v>6</v>
      </c>
      <c r="N151">
        <v>0</v>
      </c>
      <c r="O151">
        <v>1</v>
      </c>
    </row>
    <row r="152" spans="1:15" x14ac:dyDescent="0.3">
      <c r="A152">
        <v>151</v>
      </c>
      <c r="B152" t="s">
        <v>271</v>
      </c>
      <c r="C152" t="s">
        <v>272</v>
      </c>
      <c r="D152" t="s">
        <v>31</v>
      </c>
      <c r="E152" s="1">
        <v>44118</v>
      </c>
      <c r="F152" s="2">
        <f ca="1">DATEDIF(EmpTable[[#This Row],[Start Date]],TODAY(),"Y")</f>
        <v>5</v>
      </c>
      <c r="G152" t="s">
        <v>27</v>
      </c>
      <c r="H152" t="s">
        <v>17</v>
      </c>
      <c r="I152" t="s">
        <v>59</v>
      </c>
      <c r="J152">
        <v>1442</v>
      </c>
      <c r="K152">
        <v>17304</v>
      </c>
      <c r="L152">
        <v>5</v>
      </c>
      <c r="M152">
        <v>2</v>
      </c>
      <c r="N152">
        <v>1</v>
      </c>
      <c r="O152">
        <v>23</v>
      </c>
    </row>
    <row r="153" spans="1:15" x14ac:dyDescent="0.3">
      <c r="A153">
        <v>152</v>
      </c>
      <c r="B153" t="s">
        <v>36</v>
      </c>
      <c r="C153" t="s">
        <v>273</v>
      </c>
      <c r="D153" t="s">
        <v>306</v>
      </c>
      <c r="E153" s="1">
        <v>43780</v>
      </c>
      <c r="F153" s="2">
        <f ca="1">DATEDIF(EmpTable[[#This Row],[Start Date]],TODAY(),"Y")</f>
        <v>6</v>
      </c>
      <c r="G153" t="s">
        <v>49</v>
      </c>
      <c r="H153" t="s">
        <v>17</v>
      </c>
      <c r="I153" t="s">
        <v>18</v>
      </c>
      <c r="J153">
        <v>887</v>
      </c>
      <c r="K153">
        <v>10644</v>
      </c>
      <c r="L153">
        <v>4.5</v>
      </c>
      <c r="M153">
        <v>0</v>
      </c>
      <c r="N153">
        <v>0</v>
      </c>
      <c r="O153">
        <v>54</v>
      </c>
    </row>
    <row r="154" spans="1:15" x14ac:dyDescent="0.3">
      <c r="A154">
        <v>153</v>
      </c>
      <c r="B154" t="s">
        <v>274</v>
      </c>
      <c r="C154" t="s">
        <v>275</v>
      </c>
      <c r="D154" t="s">
        <v>306</v>
      </c>
      <c r="E154" s="1">
        <v>42792</v>
      </c>
      <c r="F154" s="2">
        <f ca="1">DATEDIF(EmpTable[[#This Row],[Start Date]],TODAY(),"Y")</f>
        <v>9</v>
      </c>
      <c r="G154" t="s">
        <v>27</v>
      </c>
      <c r="H154" t="s">
        <v>17</v>
      </c>
      <c r="I154" t="s">
        <v>35</v>
      </c>
      <c r="J154">
        <v>1671</v>
      </c>
      <c r="K154">
        <v>20052</v>
      </c>
      <c r="L154">
        <v>2</v>
      </c>
      <c r="M154">
        <v>0</v>
      </c>
      <c r="N154">
        <v>0</v>
      </c>
      <c r="O154">
        <v>3</v>
      </c>
    </row>
    <row r="155" spans="1:15" x14ac:dyDescent="0.3">
      <c r="A155">
        <v>154</v>
      </c>
      <c r="B155" t="s">
        <v>88</v>
      </c>
      <c r="C155" t="s">
        <v>276</v>
      </c>
      <c r="D155" t="s">
        <v>306</v>
      </c>
      <c r="E155" s="1">
        <v>43551</v>
      </c>
      <c r="F155" s="2">
        <f ca="1">DATEDIF(EmpTable[[#This Row],[Start Date]],TODAY(),"Y")</f>
        <v>6</v>
      </c>
      <c r="G155" t="s">
        <v>40</v>
      </c>
      <c r="H155" t="s">
        <v>28</v>
      </c>
      <c r="I155" t="s">
        <v>41</v>
      </c>
      <c r="J155">
        <v>1877</v>
      </c>
      <c r="K155">
        <v>22524</v>
      </c>
      <c r="L155">
        <v>4.5</v>
      </c>
      <c r="M155">
        <v>1</v>
      </c>
      <c r="N155">
        <v>0</v>
      </c>
      <c r="O155">
        <v>0</v>
      </c>
    </row>
    <row r="156" spans="1:15" x14ac:dyDescent="0.3">
      <c r="A156">
        <v>155</v>
      </c>
      <c r="B156" t="s">
        <v>277</v>
      </c>
      <c r="C156" t="s">
        <v>278</v>
      </c>
      <c r="D156" t="s">
        <v>306</v>
      </c>
      <c r="E156" s="1">
        <v>43529</v>
      </c>
      <c r="F156" s="2">
        <f ca="1">DATEDIF(EmpTable[[#This Row],[Start Date]],TODAY(),"Y")</f>
        <v>6</v>
      </c>
      <c r="G156" t="s">
        <v>49</v>
      </c>
      <c r="H156" t="s">
        <v>28</v>
      </c>
      <c r="I156" t="s">
        <v>35</v>
      </c>
      <c r="J156">
        <v>1960</v>
      </c>
      <c r="K156">
        <v>23520</v>
      </c>
      <c r="L156">
        <v>2</v>
      </c>
      <c r="M156">
        <v>0</v>
      </c>
      <c r="N156">
        <v>0</v>
      </c>
      <c r="O156">
        <v>8</v>
      </c>
    </row>
    <row r="157" spans="1:15" x14ac:dyDescent="0.3">
      <c r="A157">
        <v>156</v>
      </c>
      <c r="B157" t="s">
        <v>194</v>
      </c>
      <c r="C157" t="s">
        <v>65</v>
      </c>
      <c r="D157" t="s">
        <v>31</v>
      </c>
      <c r="E157" s="1">
        <v>43300</v>
      </c>
      <c r="F157" s="2">
        <f ca="1">DATEDIF(EmpTable[[#This Row],[Start Date]],TODAY(),"Y")</f>
        <v>7</v>
      </c>
      <c r="G157" t="s">
        <v>27</v>
      </c>
      <c r="H157" t="s">
        <v>28</v>
      </c>
      <c r="I157" t="s">
        <v>41</v>
      </c>
      <c r="J157">
        <v>2422</v>
      </c>
      <c r="K157">
        <v>29064</v>
      </c>
      <c r="L157">
        <v>4.5</v>
      </c>
      <c r="M157">
        <v>0</v>
      </c>
      <c r="N157">
        <v>2</v>
      </c>
      <c r="O157">
        <v>10</v>
      </c>
    </row>
    <row r="158" spans="1:15" x14ac:dyDescent="0.3">
      <c r="A158">
        <v>157</v>
      </c>
      <c r="B158" t="s">
        <v>279</v>
      </c>
      <c r="C158" t="s">
        <v>280</v>
      </c>
      <c r="D158" t="s">
        <v>306</v>
      </c>
      <c r="E158" s="1">
        <v>43683</v>
      </c>
      <c r="F158" s="2">
        <f ca="1">DATEDIF(EmpTable[[#This Row],[Start Date]],TODAY(),"Y")</f>
        <v>6</v>
      </c>
      <c r="G158" t="s">
        <v>27</v>
      </c>
      <c r="H158" t="s">
        <v>21</v>
      </c>
      <c r="I158" t="s">
        <v>41</v>
      </c>
      <c r="J158">
        <v>1299</v>
      </c>
      <c r="K158">
        <v>15588</v>
      </c>
      <c r="L158">
        <v>5</v>
      </c>
      <c r="M158">
        <v>0</v>
      </c>
      <c r="N158">
        <v>0</v>
      </c>
      <c r="O158">
        <v>8</v>
      </c>
    </row>
    <row r="159" spans="1:15" x14ac:dyDescent="0.3">
      <c r="A159">
        <v>158</v>
      </c>
      <c r="B159" t="s">
        <v>281</v>
      </c>
      <c r="C159" t="s">
        <v>282</v>
      </c>
      <c r="D159" t="s">
        <v>31</v>
      </c>
      <c r="E159" s="1">
        <v>43908</v>
      </c>
      <c r="F159" s="2">
        <f ca="1">DATEDIF(EmpTable[[#This Row],[Start Date]],TODAY(),"Y")</f>
        <v>5</v>
      </c>
      <c r="G159" t="s">
        <v>24</v>
      </c>
      <c r="H159" t="s">
        <v>17</v>
      </c>
      <c r="I159" t="s">
        <v>59</v>
      </c>
      <c r="J159">
        <v>2127</v>
      </c>
      <c r="K159">
        <v>25524</v>
      </c>
      <c r="L159">
        <v>5</v>
      </c>
      <c r="M159">
        <v>0</v>
      </c>
      <c r="N159">
        <v>0</v>
      </c>
      <c r="O159">
        <v>3</v>
      </c>
    </row>
    <row r="160" spans="1:15" x14ac:dyDescent="0.3">
      <c r="A160">
        <v>159</v>
      </c>
      <c r="B160" t="s">
        <v>120</v>
      </c>
      <c r="C160" t="s">
        <v>283</v>
      </c>
      <c r="D160" t="s">
        <v>306</v>
      </c>
      <c r="E160" s="1">
        <v>43653</v>
      </c>
      <c r="F160" s="2">
        <f ca="1">DATEDIF(EmpTable[[#This Row],[Start Date]],TODAY(),"Y")</f>
        <v>6</v>
      </c>
      <c r="G160" t="s">
        <v>16</v>
      </c>
      <c r="H160" t="s">
        <v>17</v>
      </c>
      <c r="I160" t="s">
        <v>35</v>
      </c>
      <c r="J160">
        <v>3096</v>
      </c>
      <c r="K160">
        <v>37152</v>
      </c>
      <c r="L160">
        <v>2</v>
      </c>
      <c r="M160">
        <v>5</v>
      </c>
      <c r="N160">
        <v>0</v>
      </c>
      <c r="O160">
        <v>9</v>
      </c>
    </row>
    <row r="161" spans="1:15" x14ac:dyDescent="0.3">
      <c r="A161">
        <v>160</v>
      </c>
      <c r="B161" t="s">
        <v>284</v>
      </c>
      <c r="C161" t="s">
        <v>285</v>
      </c>
      <c r="D161" t="s">
        <v>306</v>
      </c>
      <c r="E161" s="1">
        <v>42405</v>
      </c>
      <c r="F161" s="2">
        <f ca="1">DATEDIF(EmpTable[[#This Row],[Start Date]],TODAY(),"Y")</f>
        <v>10</v>
      </c>
      <c r="G161" t="s">
        <v>27</v>
      </c>
      <c r="H161" t="s">
        <v>17</v>
      </c>
      <c r="I161" t="s">
        <v>18</v>
      </c>
      <c r="J161">
        <v>951</v>
      </c>
      <c r="K161">
        <v>11412</v>
      </c>
      <c r="L161">
        <v>1</v>
      </c>
      <c r="M161">
        <v>6</v>
      </c>
      <c r="N161">
        <v>0</v>
      </c>
      <c r="O161">
        <v>8</v>
      </c>
    </row>
    <row r="162" spans="1:15" x14ac:dyDescent="0.3">
      <c r="A162">
        <v>161</v>
      </c>
      <c r="B162" t="s">
        <v>32</v>
      </c>
      <c r="C162" t="s">
        <v>286</v>
      </c>
      <c r="D162" t="s">
        <v>31</v>
      </c>
      <c r="E162" s="1">
        <v>43967</v>
      </c>
      <c r="F162" s="2">
        <f ca="1">DATEDIF(EmpTable[[#This Row],[Start Date]],TODAY(),"Y")</f>
        <v>5</v>
      </c>
      <c r="G162" t="s">
        <v>27</v>
      </c>
      <c r="H162" t="s">
        <v>17</v>
      </c>
      <c r="I162" t="s">
        <v>35</v>
      </c>
      <c r="J162">
        <v>2940</v>
      </c>
      <c r="K162">
        <v>35280</v>
      </c>
      <c r="L162">
        <v>1</v>
      </c>
      <c r="M162">
        <v>6</v>
      </c>
      <c r="N162">
        <v>0</v>
      </c>
      <c r="O162">
        <v>13</v>
      </c>
    </row>
    <row r="163" spans="1:15" x14ac:dyDescent="0.3">
      <c r="A163">
        <v>162</v>
      </c>
      <c r="B163" t="s">
        <v>287</v>
      </c>
      <c r="C163" t="s">
        <v>288</v>
      </c>
      <c r="D163" t="s">
        <v>306</v>
      </c>
      <c r="E163" s="1">
        <v>44102</v>
      </c>
      <c r="F163" s="2">
        <f ca="1">DATEDIF(EmpTable[[#This Row],[Start Date]],TODAY(),"Y")</f>
        <v>5</v>
      </c>
      <c r="G163" t="s">
        <v>52</v>
      </c>
      <c r="H163" t="s">
        <v>21</v>
      </c>
      <c r="I163" t="s">
        <v>41</v>
      </c>
      <c r="J163">
        <v>3293</v>
      </c>
      <c r="K163">
        <v>39516</v>
      </c>
      <c r="L163">
        <v>4.5</v>
      </c>
      <c r="M163">
        <v>1</v>
      </c>
      <c r="N163">
        <v>6</v>
      </c>
      <c r="O163">
        <v>9</v>
      </c>
    </row>
    <row r="164" spans="1:15" x14ac:dyDescent="0.3">
      <c r="A164">
        <v>163</v>
      </c>
      <c r="B164" t="s">
        <v>289</v>
      </c>
      <c r="C164" t="s">
        <v>290</v>
      </c>
      <c r="D164" t="s">
        <v>31</v>
      </c>
      <c r="E164" s="1">
        <v>42840</v>
      </c>
      <c r="F164" s="2">
        <f ca="1">DATEDIF(EmpTable[[#This Row],[Start Date]],TODAY(),"Y")</f>
        <v>8</v>
      </c>
      <c r="G164" t="s">
        <v>57</v>
      </c>
      <c r="H164" t="s">
        <v>28</v>
      </c>
      <c r="I164" t="s">
        <v>35</v>
      </c>
      <c r="J164">
        <v>3250</v>
      </c>
      <c r="K164">
        <v>39000</v>
      </c>
      <c r="L164">
        <v>2</v>
      </c>
      <c r="M164">
        <v>1</v>
      </c>
      <c r="N164">
        <v>0</v>
      </c>
      <c r="O164">
        <v>8</v>
      </c>
    </row>
    <row r="165" spans="1:15" x14ac:dyDescent="0.3">
      <c r="A165">
        <v>164</v>
      </c>
      <c r="B165" t="s">
        <v>68</v>
      </c>
      <c r="C165" t="s">
        <v>291</v>
      </c>
      <c r="D165" t="s">
        <v>31</v>
      </c>
      <c r="E165" s="1">
        <v>43385</v>
      </c>
      <c r="F165" s="2">
        <f ca="1">DATEDIF(EmpTable[[#This Row],[Start Date]],TODAY(),"Y")</f>
        <v>7</v>
      </c>
      <c r="G165" t="s">
        <v>40</v>
      </c>
      <c r="H165" t="s">
        <v>17</v>
      </c>
      <c r="I165" t="s">
        <v>41</v>
      </c>
      <c r="J165">
        <v>2085</v>
      </c>
      <c r="K165">
        <v>25020</v>
      </c>
      <c r="L165">
        <v>3</v>
      </c>
      <c r="M165">
        <v>1</v>
      </c>
      <c r="N165">
        <v>0</v>
      </c>
      <c r="O165">
        <v>9</v>
      </c>
    </row>
    <row r="166" spans="1:15" x14ac:dyDescent="0.3">
      <c r="A166">
        <v>165</v>
      </c>
      <c r="B166" t="s">
        <v>292</v>
      </c>
      <c r="C166" t="s">
        <v>29</v>
      </c>
      <c r="D166" t="s">
        <v>31</v>
      </c>
      <c r="E166" s="1">
        <v>43638</v>
      </c>
      <c r="F166" s="2">
        <f ca="1">DATEDIF(EmpTable[[#This Row],[Start Date]],TODAY(),"Y")</f>
        <v>6</v>
      </c>
      <c r="G166" t="s">
        <v>27</v>
      </c>
      <c r="H166" t="s">
        <v>293</v>
      </c>
      <c r="I166" t="s">
        <v>41</v>
      </c>
      <c r="J166">
        <v>1578</v>
      </c>
      <c r="K166">
        <v>18936</v>
      </c>
      <c r="L166">
        <v>3</v>
      </c>
      <c r="M166">
        <v>0</v>
      </c>
      <c r="N166">
        <v>0</v>
      </c>
      <c r="O166">
        <v>15</v>
      </c>
    </row>
    <row r="167" spans="1:15" x14ac:dyDescent="0.3">
      <c r="A167">
        <v>166</v>
      </c>
      <c r="B167" t="s">
        <v>294</v>
      </c>
      <c r="C167" t="s">
        <v>295</v>
      </c>
      <c r="D167" t="s">
        <v>306</v>
      </c>
      <c r="E167" s="1">
        <v>43725</v>
      </c>
      <c r="F167" s="2">
        <f ca="1">DATEDIF(EmpTable[[#This Row],[Start Date]],TODAY(),"Y")</f>
        <v>6</v>
      </c>
      <c r="G167" t="s">
        <v>40</v>
      </c>
      <c r="H167" t="s">
        <v>28</v>
      </c>
      <c r="I167" t="s">
        <v>41</v>
      </c>
      <c r="J167">
        <v>1169</v>
      </c>
      <c r="K167">
        <v>14028</v>
      </c>
      <c r="L167">
        <v>3</v>
      </c>
      <c r="M167">
        <v>1</v>
      </c>
      <c r="N167">
        <v>0</v>
      </c>
      <c r="O167">
        <v>10</v>
      </c>
    </row>
    <row r="168" spans="1:15" x14ac:dyDescent="0.3">
      <c r="A168">
        <v>167</v>
      </c>
      <c r="B168" t="s">
        <v>296</v>
      </c>
      <c r="C168" t="s">
        <v>297</v>
      </c>
      <c r="D168" t="s">
        <v>306</v>
      </c>
      <c r="E168" s="1">
        <v>42927</v>
      </c>
      <c r="F168" s="2">
        <f ca="1">DATEDIF(EmpTable[[#This Row],[Start Date]],TODAY(),"Y")</f>
        <v>8</v>
      </c>
      <c r="G168" t="s">
        <v>40</v>
      </c>
      <c r="H168" t="s">
        <v>21</v>
      </c>
      <c r="I168" t="s">
        <v>59</v>
      </c>
      <c r="J168">
        <v>1054</v>
      </c>
      <c r="K168">
        <v>12648</v>
      </c>
      <c r="L168">
        <v>5</v>
      </c>
      <c r="M168">
        <v>4</v>
      </c>
      <c r="N168">
        <v>6</v>
      </c>
      <c r="O168">
        <v>7</v>
      </c>
    </row>
    <row r="169" spans="1:15" x14ac:dyDescent="0.3">
      <c r="A169">
        <v>168</v>
      </c>
      <c r="B169" t="s">
        <v>298</v>
      </c>
      <c r="C169" t="s">
        <v>79</v>
      </c>
      <c r="D169" t="s">
        <v>306</v>
      </c>
      <c r="E169" s="1">
        <v>43680</v>
      </c>
      <c r="F169" s="2">
        <f ca="1">DATEDIF(EmpTable[[#This Row],[Start Date]],TODAY(),"Y")</f>
        <v>6</v>
      </c>
      <c r="G169" t="s">
        <v>40</v>
      </c>
      <c r="H169" t="s">
        <v>17</v>
      </c>
      <c r="I169" t="s">
        <v>41</v>
      </c>
      <c r="J169">
        <v>1349</v>
      </c>
      <c r="K169">
        <v>16188</v>
      </c>
      <c r="L169">
        <v>4.5</v>
      </c>
      <c r="M169">
        <v>1</v>
      </c>
      <c r="N169">
        <v>0</v>
      </c>
      <c r="O169">
        <v>4</v>
      </c>
    </row>
    <row r="170" spans="1:15" x14ac:dyDescent="0.3">
      <c r="A170">
        <v>169</v>
      </c>
      <c r="B170" t="s">
        <v>299</v>
      </c>
      <c r="C170" t="s">
        <v>300</v>
      </c>
      <c r="D170" t="s">
        <v>306</v>
      </c>
      <c r="E170" s="1">
        <v>43571</v>
      </c>
      <c r="F170" s="2">
        <f ca="1">DATEDIF(EmpTable[[#This Row],[Start Date]],TODAY(),"Y")</f>
        <v>6</v>
      </c>
      <c r="G170" t="s">
        <v>16</v>
      </c>
      <c r="H170" t="s">
        <v>28</v>
      </c>
      <c r="I170" t="s">
        <v>59</v>
      </c>
      <c r="J170">
        <v>2196</v>
      </c>
      <c r="K170">
        <v>26352</v>
      </c>
      <c r="L170">
        <v>5</v>
      </c>
      <c r="M170">
        <v>4</v>
      </c>
      <c r="N170">
        <v>0</v>
      </c>
      <c r="O170">
        <v>9</v>
      </c>
    </row>
    <row r="171" spans="1:15" x14ac:dyDescent="0.3">
      <c r="A171">
        <v>170</v>
      </c>
      <c r="B171" t="s">
        <v>58</v>
      </c>
      <c r="C171" t="s">
        <v>141</v>
      </c>
      <c r="D171" t="s">
        <v>306</v>
      </c>
      <c r="E171" s="1">
        <v>43846</v>
      </c>
      <c r="F171" s="2">
        <f ca="1">DATEDIF(EmpTable[[#This Row],[Start Date]],TODAY(),"Y")</f>
        <v>6</v>
      </c>
      <c r="G171" t="s">
        <v>76</v>
      </c>
      <c r="H171" t="s">
        <v>17</v>
      </c>
      <c r="I171" t="s">
        <v>41</v>
      </c>
      <c r="J171">
        <v>3264</v>
      </c>
      <c r="K171">
        <v>39168</v>
      </c>
      <c r="L171">
        <v>5</v>
      </c>
      <c r="M171">
        <v>6</v>
      </c>
      <c r="N171">
        <v>5</v>
      </c>
      <c r="O171">
        <v>4</v>
      </c>
    </row>
    <row r="172" spans="1:15" x14ac:dyDescent="0.3">
      <c r="A172">
        <v>171</v>
      </c>
      <c r="B172" t="s">
        <v>32</v>
      </c>
      <c r="C172" t="s">
        <v>301</v>
      </c>
      <c r="D172" t="s">
        <v>31</v>
      </c>
      <c r="E172" s="1">
        <v>42942</v>
      </c>
      <c r="F172" s="2">
        <f ca="1">DATEDIF(EmpTable[[#This Row],[Start Date]],TODAY(),"Y")</f>
        <v>8</v>
      </c>
      <c r="G172" t="s">
        <v>16</v>
      </c>
      <c r="H172" t="s">
        <v>28</v>
      </c>
      <c r="I172" t="s">
        <v>35</v>
      </c>
      <c r="J172">
        <v>1232</v>
      </c>
      <c r="K172">
        <v>14784</v>
      </c>
      <c r="L172">
        <v>5</v>
      </c>
      <c r="M172">
        <v>4</v>
      </c>
      <c r="N172">
        <v>5</v>
      </c>
      <c r="O172">
        <v>2</v>
      </c>
    </row>
    <row r="173" spans="1:15" x14ac:dyDescent="0.3">
      <c r="A173">
        <v>172</v>
      </c>
      <c r="B173" t="s">
        <v>302</v>
      </c>
      <c r="C173" t="s">
        <v>303</v>
      </c>
      <c r="D173" t="s">
        <v>306</v>
      </c>
      <c r="E173" s="1">
        <v>43787</v>
      </c>
      <c r="F173" s="2">
        <f ca="1">DATEDIF(EmpTable[[#This Row],[Start Date]],TODAY(),"Y")</f>
        <v>6</v>
      </c>
      <c r="G173" t="s">
        <v>49</v>
      </c>
      <c r="H173" t="s">
        <v>17</v>
      </c>
      <c r="I173" t="s">
        <v>41</v>
      </c>
      <c r="J173">
        <v>2401</v>
      </c>
      <c r="K173">
        <v>28812</v>
      </c>
      <c r="L173">
        <v>5</v>
      </c>
      <c r="M173">
        <v>0</v>
      </c>
      <c r="N173">
        <v>0</v>
      </c>
      <c r="O173">
        <v>9</v>
      </c>
    </row>
    <row r="174" spans="1:15" x14ac:dyDescent="0.3">
      <c r="A174">
        <v>173</v>
      </c>
      <c r="B174" t="s">
        <v>304</v>
      </c>
      <c r="C174" t="s">
        <v>305</v>
      </c>
      <c r="D174" t="s">
        <v>306</v>
      </c>
      <c r="E174" s="1">
        <v>42994</v>
      </c>
      <c r="F174" s="2">
        <f ca="1">DATEDIF(EmpTable[[#This Row],[Start Date]],TODAY(),"Y")</f>
        <v>8</v>
      </c>
      <c r="G174" t="s">
        <v>27</v>
      </c>
      <c r="H174" t="s">
        <v>21</v>
      </c>
      <c r="I174" t="s">
        <v>41</v>
      </c>
      <c r="J174">
        <v>3168</v>
      </c>
      <c r="K174">
        <v>38016</v>
      </c>
      <c r="L174">
        <v>5</v>
      </c>
      <c r="M174">
        <v>0</v>
      </c>
      <c r="N174">
        <v>0</v>
      </c>
      <c r="O174">
        <v>18</v>
      </c>
    </row>
    <row r="175" spans="1:15" x14ac:dyDescent="0.3">
      <c r="A175">
        <v>174</v>
      </c>
      <c r="B175" t="s">
        <v>81</v>
      </c>
      <c r="C175" t="s">
        <v>307</v>
      </c>
      <c r="D175" t="s">
        <v>306</v>
      </c>
      <c r="E175" s="1">
        <v>43148</v>
      </c>
      <c r="F175" s="2">
        <f ca="1">DATEDIF(EmpTable[[#This Row],[Start Date]],TODAY(),"Y")</f>
        <v>8</v>
      </c>
      <c r="G175" t="s">
        <v>76</v>
      </c>
      <c r="H175" t="s">
        <v>17</v>
      </c>
      <c r="I175" t="s">
        <v>41</v>
      </c>
      <c r="J175">
        <v>1620</v>
      </c>
      <c r="K175">
        <v>19440</v>
      </c>
      <c r="L175">
        <v>5</v>
      </c>
      <c r="M175">
        <v>5</v>
      </c>
      <c r="N175">
        <v>0</v>
      </c>
      <c r="O175">
        <v>10</v>
      </c>
    </row>
    <row r="176" spans="1:15" x14ac:dyDescent="0.3">
      <c r="A176">
        <v>175</v>
      </c>
      <c r="B176" t="s">
        <v>150</v>
      </c>
      <c r="C176" t="s">
        <v>308</v>
      </c>
      <c r="D176" t="s">
        <v>31</v>
      </c>
      <c r="E176" s="1">
        <v>42892</v>
      </c>
      <c r="F176" s="2">
        <f ca="1">DATEDIF(EmpTable[[#This Row],[Start Date]],TODAY(),"Y")</f>
        <v>8</v>
      </c>
      <c r="G176" t="s">
        <v>16</v>
      </c>
      <c r="H176" t="s">
        <v>28</v>
      </c>
      <c r="I176" t="s">
        <v>41</v>
      </c>
      <c r="J176">
        <v>1482</v>
      </c>
      <c r="K176">
        <v>17784</v>
      </c>
      <c r="L176">
        <v>5</v>
      </c>
      <c r="M176">
        <v>0</v>
      </c>
      <c r="N176">
        <v>0</v>
      </c>
      <c r="O176">
        <v>3</v>
      </c>
    </row>
    <row r="177" spans="1:15" x14ac:dyDescent="0.3">
      <c r="A177">
        <v>176</v>
      </c>
      <c r="B177" t="s">
        <v>309</v>
      </c>
      <c r="C177" t="s">
        <v>310</v>
      </c>
      <c r="D177" t="s">
        <v>306</v>
      </c>
      <c r="E177" s="1">
        <v>43939</v>
      </c>
      <c r="F177" s="2">
        <f ca="1">DATEDIF(EmpTable[[#This Row],[Start Date]],TODAY(),"Y")</f>
        <v>5</v>
      </c>
      <c r="G177" t="s">
        <v>40</v>
      </c>
      <c r="H177" t="s">
        <v>17</v>
      </c>
      <c r="I177" t="s">
        <v>41</v>
      </c>
      <c r="J177">
        <v>1967</v>
      </c>
      <c r="K177">
        <v>23604</v>
      </c>
      <c r="L177">
        <v>4.5</v>
      </c>
      <c r="M177">
        <v>6</v>
      </c>
      <c r="N177">
        <v>0</v>
      </c>
      <c r="O177">
        <v>6</v>
      </c>
    </row>
    <row r="178" spans="1:15" x14ac:dyDescent="0.3">
      <c r="A178">
        <v>177</v>
      </c>
      <c r="B178" t="s">
        <v>311</v>
      </c>
      <c r="C178" t="s">
        <v>312</v>
      </c>
      <c r="D178" t="s">
        <v>306</v>
      </c>
      <c r="E178" s="1">
        <v>43175</v>
      </c>
      <c r="F178" s="2">
        <f ca="1">DATEDIF(EmpTable[[#This Row],[Start Date]],TODAY(),"Y")</f>
        <v>7</v>
      </c>
      <c r="G178" t="s">
        <v>27</v>
      </c>
      <c r="H178" t="s">
        <v>17</v>
      </c>
      <c r="I178" t="s">
        <v>41</v>
      </c>
      <c r="J178">
        <v>1696</v>
      </c>
      <c r="K178">
        <v>20352</v>
      </c>
      <c r="L178">
        <v>5</v>
      </c>
      <c r="M178">
        <v>0</v>
      </c>
      <c r="N178">
        <v>0</v>
      </c>
      <c r="O178">
        <v>5</v>
      </c>
    </row>
    <row r="179" spans="1:15" x14ac:dyDescent="0.3">
      <c r="A179">
        <v>178</v>
      </c>
      <c r="B179" t="s">
        <v>120</v>
      </c>
      <c r="C179" t="s">
        <v>313</v>
      </c>
      <c r="D179" t="s">
        <v>306</v>
      </c>
      <c r="E179" s="1">
        <v>43458</v>
      </c>
      <c r="F179" s="2">
        <f ca="1">DATEDIF(EmpTable[[#This Row],[Start Date]],TODAY(),"Y")</f>
        <v>7</v>
      </c>
      <c r="G179" t="s">
        <v>52</v>
      </c>
      <c r="H179" t="s">
        <v>17</v>
      </c>
      <c r="I179" t="s">
        <v>59</v>
      </c>
      <c r="J179">
        <v>2913</v>
      </c>
      <c r="K179">
        <v>34956</v>
      </c>
      <c r="L179">
        <v>4.5</v>
      </c>
      <c r="M179">
        <v>0</v>
      </c>
      <c r="N179">
        <v>0</v>
      </c>
      <c r="O179">
        <v>3</v>
      </c>
    </row>
    <row r="180" spans="1:15" x14ac:dyDescent="0.3">
      <c r="A180">
        <v>179</v>
      </c>
      <c r="B180" t="s">
        <v>314</v>
      </c>
      <c r="C180" t="s">
        <v>315</v>
      </c>
      <c r="D180" t="s">
        <v>306</v>
      </c>
      <c r="E180" s="1">
        <v>43897</v>
      </c>
      <c r="F180" s="2">
        <f ca="1">DATEDIF(EmpTable[[#This Row],[Start Date]],TODAY(),"Y")</f>
        <v>5</v>
      </c>
      <c r="G180" t="s">
        <v>76</v>
      </c>
      <c r="H180" t="s">
        <v>293</v>
      </c>
      <c r="I180" t="s">
        <v>59</v>
      </c>
      <c r="J180">
        <v>2068</v>
      </c>
      <c r="K180">
        <v>24816</v>
      </c>
      <c r="L180">
        <v>1</v>
      </c>
      <c r="M180">
        <v>0</v>
      </c>
      <c r="N180">
        <v>1</v>
      </c>
      <c r="O180">
        <v>0</v>
      </c>
    </row>
    <row r="181" spans="1:15" x14ac:dyDescent="0.3">
      <c r="A181">
        <v>180</v>
      </c>
      <c r="B181" t="s">
        <v>316</v>
      </c>
      <c r="C181" t="s">
        <v>317</v>
      </c>
      <c r="D181" t="s">
        <v>31</v>
      </c>
      <c r="E181" s="1">
        <v>43398</v>
      </c>
      <c r="F181" s="2">
        <f ca="1">DATEDIF(EmpTable[[#This Row],[Start Date]],TODAY(),"Y")</f>
        <v>7</v>
      </c>
      <c r="G181" t="s">
        <v>162</v>
      </c>
      <c r="H181" t="s">
        <v>28</v>
      </c>
      <c r="I181" t="s">
        <v>35</v>
      </c>
      <c r="J181">
        <v>1430</v>
      </c>
      <c r="K181">
        <v>17160</v>
      </c>
      <c r="L181">
        <v>3</v>
      </c>
      <c r="M181">
        <v>6</v>
      </c>
      <c r="N181">
        <v>0</v>
      </c>
      <c r="O181">
        <v>0</v>
      </c>
    </row>
    <row r="182" spans="1:15" x14ac:dyDescent="0.3">
      <c r="A182">
        <v>181</v>
      </c>
      <c r="B182" t="s">
        <v>32</v>
      </c>
      <c r="C182" t="s">
        <v>318</v>
      </c>
      <c r="D182" t="s">
        <v>31</v>
      </c>
      <c r="E182" s="1">
        <v>43250</v>
      </c>
      <c r="F182" s="2">
        <f ca="1">DATEDIF(EmpTable[[#This Row],[Start Date]],TODAY(),"Y")</f>
        <v>7</v>
      </c>
      <c r="G182" t="s">
        <v>40</v>
      </c>
      <c r="H182" t="s">
        <v>21</v>
      </c>
      <c r="I182" t="s">
        <v>35</v>
      </c>
      <c r="J182">
        <v>3138</v>
      </c>
      <c r="K182">
        <v>37656</v>
      </c>
      <c r="L182">
        <v>1</v>
      </c>
      <c r="M182">
        <v>0</v>
      </c>
      <c r="N182">
        <v>5</v>
      </c>
      <c r="O182">
        <v>9</v>
      </c>
    </row>
    <row r="183" spans="1:15" x14ac:dyDescent="0.3">
      <c r="A183">
        <v>182</v>
      </c>
      <c r="B183" t="s">
        <v>319</v>
      </c>
      <c r="C183" t="s">
        <v>320</v>
      </c>
      <c r="D183" t="s">
        <v>31</v>
      </c>
      <c r="E183" s="1">
        <v>44169</v>
      </c>
      <c r="F183" s="2">
        <f ca="1">DATEDIF(EmpTable[[#This Row],[Start Date]],TODAY(),"Y")</f>
        <v>5</v>
      </c>
      <c r="G183" t="s">
        <v>27</v>
      </c>
      <c r="H183" t="s">
        <v>17</v>
      </c>
      <c r="I183" t="s">
        <v>41</v>
      </c>
      <c r="J183">
        <v>2051</v>
      </c>
      <c r="K183">
        <v>24612</v>
      </c>
      <c r="L183">
        <v>3</v>
      </c>
      <c r="M183">
        <v>0</v>
      </c>
      <c r="N183">
        <v>0</v>
      </c>
      <c r="O183">
        <v>2</v>
      </c>
    </row>
    <row r="184" spans="1:15" x14ac:dyDescent="0.3">
      <c r="A184">
        <v>183</v>
      </c>
      <c r="B184" t="s">
        <v>321</v>
      </c>
      <c r="C184" t="s">
        <v>322</v>
      </c>
      <c r="D184" t="s">
        <v>306</v>
      </c>
      <c r="E184" s="1">
        <v>43351</v>
      </c>
      <c r="F184" s="2">
        <f ca="1">DATEDIF(EmpTable[[#This Row],[Start Date]],TODAY(),"Y")</f>
        <v>7</v>
      </c>
      <c r="G184" t="s">
        <v>52</v>
      </c>
      <c r="H184" t="s">
        <v>17</v>
      </c>
      <c r="I184" t="s">
        <v>35</v>
      </c>
      <c r="J184">
        <v>2986</v>
      </c>
      <c r="K184">
        <v>35832</v>
      </c>
      <c r="L184">
        <v>1</v>
      </c>
      <c r="M184">
        <v>3</v>
      </c>
      <c r="N184">
        <v>0</v>
      </c>
      <c r="O184">
        <v>8</v>
      </c>
    </row>
    <row r="185" spans="1:15" x14ac:dyDescent="0.3">
      <c r="A185">
        <v>184</v>
      </c>
      <c r="B185" t="s">
        <v>323</v>
      </c>
      <c r="C185" t="s">
        <v>324</v>
      </c>
      <c r="D185" t="s">
        <v>31</v>
      </c>
      <c r="E185" s="1">
        <v>43524</v>
      </c>
      <c r="F185" s="2">
        <f ca="1">DATEDIF(EmpTable[[#This Row],[Start Date]],TODAY(),"Y")</f>
        <v>6</v>
      </c>
      <c r="G185" t="s">
        <v>27</v>
      </c>
      <c r="H185" t="s">
        <v>47</v>
      </c>
      <c r="I185" t="s">
        <v>41</v>
      </c>
      <c r="J185">
        <v>2790</v>
      </c>
      <c r="K185">
        <v>33480</v>
      </c>
      <c r="L185">
        <v>5</v>
      </c>
      <c r="M185">
        <v>6</v>
      </c>
      <c r="N185">
        <v>0</v>
      </c>
      <c r="O185">
        <v>3</v>
      </c>
    </row>
    <row r="186" spans="1:15" x14ac:dyDescent="0.3">
      <c r="A186">
        <v>185</v>
      </c>
      <c r="B186" t="s">
        <v>196</v>
      </c>
      <c r="C186" t="s">
        <v>325</v>
      </c>
      <c r="D186" t="s">
        <v>31</v>
      </c>
      <c r="E186" s="1">
        <v>44182</v>
      </c>
      <c r="F186" s="2">
        <f ca="1">DATEDIF(EmpTable[[#This Row],[Start Date]],TODAY(),"Y")</f>
        <v>5</v>
      </c>
      <c r="G186" t="s">
        <v>52</v>
      </c>
      <c r="H186" t="s">
        <v>17</v>
      </c>
      <c r="I186" t="s">
        <v>41</v>
      </c>
      <c r="J186">
        <v>1075</v>
      </c>
      <c r="K186">
        <v>12900</v>
      </c>
      <c r="L186">
        <v>4.5</v>
      </c>
      <c r="M186">
        <v>6</v>
      </c>
      <c r="N186">
        <v>0</v>
      </c>
      <c r="O186">
        <v>7</v>
      </c>
    </row>
    <row r="187" spans="1:15" x14ac:dyDescent="0.3">
      <c r="A187">
        <v>186</v>
      </c>
      <c r="B187" t="s">
        <v>326</v>
      </c>
      <c r="C187" t="s">
        <v>327</v>
      </c>
      <c r="D187" t="s">
        <v>31</v>
      </c>
      <c r="E187" s="1">
        <v>43592</v>
      </c>
      <c r="F187" s="2">
        <f ca="1">DATEDIF(EmpTable[[#This Row],[Start Date]],TODAY(),"Y")</f>
        <v>6</v>
      </c>
      <c r="G187" t="s">
        <v>38</v>
      </c>
      <c r="H187" t="s">
        <v>47</v>
      </c>
      <c r="I187" t="s">
        <v>41</v>
      </c>
      <c r="J187">
        <v>2009</v>
      </c>
      <c r="K187">
        <v>24108</v>
      </c>
      <c r="L187">
        <v>1</v>
      </c>
      <c r="M187">
        <v>5</v>
      </c>
      <c r="N187">
        <v>0</v>
      </c>
      <c r="O187">
        <v>0</v>
      </c>
    </row>
    <row r="188" spans="1:15" x14ac:dyDescent="0.3">
      <c r="A188">
        <v>187</v>
      </c>
      <c r="B188" t="s">
        <v>32</v>
      </c>
      <c r="C188" t="s">
        <v>328</v>
      </c>
      <c r="D188" t="s">
        <v>31</v>
      </c>
      <c r="E188" s="1">
        <v>43315</v>
      </c>
      <c r="F188" s="2">
        <f ca="1">DATEDIF(EmpTable[[#This Row],[Start Date]],TODAY(),"Y")</f>
        <v>7</v>
      </c>
      <c r="G188" t="s">
        <v>75</v>
      </c>
      <c r="H188" t="s">
        <v>17</v>
      </c>
      <c r="I188" t="s">
        <v>41</v>
      </c>
      <c r="J188">
        <v>3254</v>
      </c>
      <c r="K188">
        <v>39048</v>
      </c>
      <c r="L188">
        <v>3</v>
      </c>
      <c r="M188">
        <v>4</v>
      </c>
      <c r="N188">
        <v>6</v>
      </c>
      <c r="O188">
        <v>5</v>
      </c>
    </row>
    <row r="189" spans="1:15" x14ac:dyDescent="0.3">
      <c r="A189">
        <v>188</v>
      </c>
      <c r="B189" t="s">
        <v>329</v>
      </c>
      <c r="C189" t="s">
        <v>141</v>
      </c>
      <c r="D189" t="s">
        <v>306</v>
      </c>
      <c r="E189" s="1">
        <v>43755</v>
      </c>
      <c r="F189" s="2">
        <f ca="1">DATEDIF(EmpTable[[#This Row],[Start Date]],TODAY(),"Y")</f>
        <v>6</v>
      </c>
      <c r="G189" t="s">
        <v>117</v>
      </c>
      <c r="H189" t="s">
        <v>28</v>
      </c>
      <c r="I189" t="s">
        <v>41</v>
      </c>
      <c r="J189">
        <v>2367</v>
      </c>
      <c r="K189">
        <v>28404</v>
      </c>
      <c r="L189">
        <v>3</v>
      </c>
      <c r="M189">
        <v>0</v>
      </c>
      <c r="N189">
        <v>0</v>
      </c>
      <c r="O189">
        <v>1</v>
      </c>
    </row>
    <row r="190" spans="1:15" x14ac:dyDescent="0.3">
      <c r="A190">
        <v>189</v>
      </c>
      <c r="B190" t="s">
        <v>32</v>
      </c>
      <c r="C190" t="s">
        <v>166</v>
      </c>
      <c r="D190" t="s">
        <v>31</v>
      </c>
      <c r="E190" s="1">
        <v>43133</v>
      </c>
      <c r="F190" s="2">
        <f ca="1">DATEDIF(EmpTable[[#This Row],[Start Date]],TODAY(),"Y")</f>
        <v>8</v>
      </c>
      <c r="G190" t="s">
        <v>27</v>
      </c>
      <c r="H190" t="s">
        <v>28</v>
      </c>
      <c r="I190" t="s">
        <v>41</v>
      </c>
      <c r="J190">
        <v>3158</v>
      </c>
      <c r="K190">
        <v>37896</v>
      </c>
      <c r="L190">
        <v>3</v>
      </c>
      <c r="M190">
        <v>2</v>
      </c>
      <c r="N190">
        <v>5</v>
      </c>
      <c r="O190">
        <v>10</v>
      </c>
    </row>
    <row r="191" spans="1:15" x14ac:dyDescent="0.3">
      <c r="A191">
        <v>190</v>
      </c>
      <c r="B191" t="s">
        <v>32</v>
      </c>
      <c r="C191" t="s">
        <v>330</v>
      </c>
      <c r="D191" t="s">
        <v>31</v>
      </c>
      <c r="E191" s="1">
        <v>43826</v>
      </c>
      <c r="F191" s="2">
        <f ca="1">DATEDIF(EmpTable[[#This Row],[Start Date]],TODAY(),"Y")</f>
        <v>6</v>
      </c>
      <c r="G191" t="s">
        <v>27</v>
      </c>
      <c r="H191" t="s">
        <v>28</v>
      </c>
      <c r="I191" t="s">
        <v>41</v>
      </c>
      <c r="J191">
        <v>1980</v>
      </c>
      <c r="K191">
        <v>23760</v>
      </c>
      <c r="L191">
        <v>2</v>
      </c>
      <c r="M191">
        <v>0</v>
      </c>
      <c r="N191">
        <v>0</v>
      </c>
      <c r="O191">
        <v>2</v>
      </c>
    </row>
    <row r="192" spans="1:15" x14ac:dyDescent="0.3">
      <c r="A192">
        <v>191</v>
      </c>
      <c r="B192" t="s">
        <v>19</v>
      </c>
      <c r="C192" t="s">
        <v>230</v>
      </c>
      <c r="D192" t="s">
        <v>31</v>
      </c>
      <c r="E192" s="1">
        <v>43562</v>
      </c>
      <c r="F192" s="2">
        <f ca="1">DATEDIF(EmpTable[[#This Row],[Start Date]],TODAY(),"Y")</f>
        <v>6</v>
      </c>
      <c r="G192" t="s">
        <v>40</v>
      </c>
      <c r="H192" t="s">
        <v>17</v>
      </c>
      <c r="I192" t="s">
        <v>41</v>
      </c>
      <c r="J192">
        <v>2049</v>
      </c>
      <c r="K192">
        <v>24588</v>
      </c>
      <c r="L192">
        <v>3</v>
      </c>
      <c r="M192">
        <v>6</v>
      </c>
      <c r="N192">
        <v>0</v>
      </c>
      <c r="O192">
        <v>23</v>
      </c>
    </row>
    <row r="193" spans="1:15" x14ac:dyDescent="0.3">
      <c r="A193">
        <v>192</v>
      </c>
      <c r="B193" t="s">
        <v>331</v>
      </c>
      <c r="C193" t="s">
        <v>332</v>
      </c>
      <c r="D193" t="s">
        <v>306</v>
      </c>
      <c r="E193" s="1">
        <v>43978</v>
      </c>
      <c r="F193" s="2">
        <f ca="1">DATEDIF(EmpTable[[#This Row],[Start Date]],TODAY(),"Y")</f>
        <v>5</v>
      </c>
      <c r="G193" t="s">
        <v>76</v>
      </c>
      <c r="H193" t="s">
        <v>17</v>
      </c>
      <c r="I193" t="s">
        <v>35</v>
      </c>
      <c r="J193">
        <v>2727</v>
      </c>
      <c r="K193">
        <v>32724</v>
      </c>
      <c r="L193">
        <v>2</v>
      </c>
      <c r="M193">
        <v>0</v>
      </c>
      <c r="N193">
        <v>0</v>
      </c>
      <c r="O193">
        <v>8</v>
      </c>
    </row>
    <row r="194" spans="1:15" x14ac:dyDescent="0.3">
      <c r="A194">
        <v>193</v>
      </c>
      <c r="B194" t="s">
        <v>333</v>
      </c>
      <c r="C194" t="s">
        <v>334</v>
      </c>
      <c r="D194" t="s">
        <v>306</v>
      </c>
      <c r="E194" s="1">
        <v>43806</v>
      </c>
      <c r="F194" s="2">
        <f ca="1">DATEDIF(EmpTable[[#This Row],[Start Date]],TODAY(),"Y")</f>
        <v>6</v>
      </c>
      <c r="G194" t="s">
        <v>27</v>
      </c>
      <c r="H194" t="s">
        <v>28</v>
      </c>
      <c r="I194" t="s">
        <v>59</v>
      </c>
      <c r="J194">
        <v>974</v>
      </c>
      <c r="K194">
        <v>11688</v>
      </c>
      <c r="L194">
        <v>5</v>
      </c>
      <c r="M194">
        <v>0</v>
      </c>
      <c r="N194">
        <v>0</v>
      </c>
      <c r="O194">
        <v>9</v>
      </c>
    </row>
    <row r="195" spans="1:15" x14ac:dyDescent="0.3">
      <c r="A195">
        <v>194</v>
      </c>
      <c r="B195" t="s">
        <v>335</v>
      </c>
      <c r="C195" t="s">
        <v>336</v>
      </c>
      <c r="D195" t="s">
        <v>31</v>
      </c>
      <c r="E195" s="1">
        <v>43775</v>
      </c>
      <c r="F195" s="2">
        <f ca="1">DATEDIF(EmpTable[[#This Row],[Start Date]],TODAY(),"Y")</f>
        <v>6</v>
      </c>
      <c r="G195" t="s">
        <v>34</v>
      </c>
      <c r="H195" t="s">
        <v>28</v>
      </c>
      <c r="I195" t="s">
        <v>35</v>
      </c>
      <c r="J195">
        <v>992</v>
      </c>
      <c r="K195">
        <v>11904</v>
      </c>
      <c r="L195">
        <v>5</v>
      </c>
      <c r="M195">
        <v>0</v>
      </c>
      <c r="N195">
        <v>0</v>
      </c>
      <c r="O195">
        <v>3</v>
      </c>
    </row>
    <row r="196" spans="1:15" x14ac:dyDescent="0.3">
      <c r="A196">
        <v>195</v>
      </c>
      <c r="B196" t="s">
        <v>337</v>
      </c>
      <c r="C196" t="s">
        <v>338</v>
      </c>
      <c r="D196" t="s">
        <v>306</v>
      </c>
      <c r="E196" s="1">
        <v>43329</v>
      </c>
      <c r="F196" s="2">
        <f ca="1">DATEDIF(EmpTable[[#This Row],[Start Date]],TODAY(),"Y")</f>
        <v>7</v>
      </c>
      <c r="G196" t="s">
        <v>40</v>
      </c>
      <c r="H196" t="s">
        <v>17</v>
      </c>
      <c r="I196" t="s">
        <v>18</v>
      </c>
      <c r="J196">
        <v>2730</v>
      </c>
      <c r="K196">
        <v>32760</v>
      </c>
      <c r="L196">
        <v>1</v>
      </c>
      <c r="M196">
        <v>4</v>
      </c>
      <c r="N196">
        <v>6</v>
      </c>
      <c r="O196">
        <v>9</v>
      </c>
    </row>
    <row r="197" spans="1:15" x14ac:dyDescent="0.3">
      <c r="A197">
        <v>196</v>
      </c>
      <c r="B197" t="s">
        <v>88</v>
      </c>
      <c r="C197" t="s">
        <v>339</v>
      </c>
      <c r="D197" t="s">
        <v>306</v>
      </c>
      <c r="E197" s="1">
        <v>42387</v>
      </c>
      <c r="F197" s="2">
        <f ca="1">DATEDIF(EmpTable[[#This Row],[Start Date]],TODAY(),"Y")</f>
        <v>10</v>
      </c>
      <c r="G197" t="s">
        <v>52</v>
      </c>
      <c r="H197" t="s">
        <v>17</v>
      </c>
      <c r="I197" t="s">
        <v>18</v>
      </c>
      <c r="J197">
        <v>2804</v>
      </c>
      <c r="K197">
        <v>33648</v>
      </c>
      <c r="L197">
        <v>4.5</v>
      </c>
      <c r="M197">
        <v>0</v>
      </c>
      <c r="N197">
        <v>0</v>
      </c>
      <c r="O197">
        <v>4</v>
      </c>
    </row>
    <row r="198" spans="1:15" x14ac:dyDescent="0.3">
      <c r="A198">
        <v>197</v>
      </c>
      <c r="B198" t="s">
        <v>29</v>
      </c>
      <c r="C198" t="s">
        <v>340</v>
      </c>
      <c r="D198" t="s">
        <v>31</v>
      </c>
      <c r="E198" s="1">
        <v>43558</v>
      </c>
      <c r="F198" s="2">
        <f ca="1">DATEDIF(EmpTable[[#This Row],[Start Date]],TODAY(),"Y")</f>
        <v>6</v>
      </c>
      <c r="G198" t="s">
        <v>16</v>
      </c>
      <c r="H198" t="s">
        <v>17</v>
      </c>
      <c r="I198" t="s">
        <v>41</v>
      </c>
      <c r="J198">
        <v>1467</v>
      </c>
      <c r="K198">
        <v>17604</v>
      </c>
      <c r="L198">
        <v>5</v>
      </c>
      <c r="M198">
        <v>6</v>
      </c>
      <c r="N198">
        <v>0</v>
      </c>
      <c r="O198">
        <v>0</v>
      </c>
    </row>
    <row r="199" spans="1:15" x14ac:dyDescent="0.3">
      <c r="A199">
        <v>198</v>
      </c>
      <c r="B199" t="s">
        <v>145</v>
      </c>
      <c r="C199" t="s">
        <v>220</v>
      </c>
      <c r="D199" t="s">
        <v>31</v>
      </c>
      <c r="E199" s="1">
        <v>44141</v>
      </c>
      <c r="F199" s="2">
        <f ca="1">DATEDIF(EmpTable[[#This Row],[Start Date]],TODAY(),"Y")</f>
        <v>5</v>
      </c>
      <c r="G199" t="s">
        <v>24</v>
      </c>
      <c r="H199" t="s">
        <v>293</v>
      </c>
      <c r="I199" t="s">
        <v>18</v>
      </c>
      <c r="J199">
        <v>997</v>
      </c>
      <c r="K199">
        <v>11964</v>
      </c>
      <c r="L199">
        <v>5</v>
      </c>
      <c r="M199">
        <v>1</v>
      </c>
      <c r="N199">
        <v>0</v>
      </c>
      <c r="O199">
        <v>68</v>
      </c>
    </row>
    <row r="200" spans="1:15" x14ac:dyDescent="0.3">
      <c r="A200">
        <v>199</v>
      </c>
      <c r="B200" t="s">
        <v>32</v>
      </c>
      <c r="C200" t="s">
        <v>341</v>
      </c>
      <c r="D200" t="s">
        <v>31</v>
      </c>
      <c r="E200" s="1">
        <v>43705</v>
      </c>
      <c r="F200" s="2">
        <f ca="1">DATEDIF(EmpTable[[#This Row],[Start Date]],TODAY(),"Y")</f>
        <v>6</v>
      </c>
      <c r="G200" t="s">
        <v>40</v>
      </c>
      <c r="H200" t="s">
        <v>21</v>
      </c>
      <c r="I200" t="s">
        <v>18</v>
      </c>
      <c r="J200">
        <v>1859</v>
      </c>
      <c r="K200">
        <v>22308</v>
      </c>
      <c r="L200">
        <v>5</v>
      </c>
      <c r="M200">
        <v>5</v>
      </c>
      <c r="N200">
        <v>0</v>
      </c>
      <c r="O200">
        <v>1</v>
      </c>
    </row>
    <row r="201" spans="1:15" x14ac:dyDescent="0.3">
      <c r="A201">
        <v>200</v>
      </c>
      <c r="B201" t="s">
        <v>185</v>
      </c>
      <c r="C201" t="s">
        <v>342</v>
      </c>
      <c r="D201" t="s">
        <v>31</v>
      </c>
      <c r="E201" s="1">
        <v>43711</v>
      </c>
      <c r="F201" s="2">
        <f ca="1">DATEDIF(EmpTable[[#This Row],[Start Date]],TODAY(),"Y")</f>
        <v>6</v>
      </c>
      <c r="G201" t="s">
        <v>76</v>
      </c>
      <c r="H201" t="s">
        <v>17</v>
      </c>
      <c r="I201" t="s">
        <v>35</v>
      </c>
      <c r="J201">
        <v>1231</v>
      </c>
      <c r="K201">
        <v>14772</v>
      </c>
      <c r="L201">
        <v>1</v>
      </c>
      <c r="M201">
        <v>1</v>
      </c>
      <c r="N201">
        <v>5</v>
      </c>
      <c r="O201">
        <v>7</v>
      </c>
    </row>
    <row r="202" spans="1:15" x14ac:dyDescent="0.3">
      <c r="A202">
        <v>201</v>
      </c>
      <c r="B202" t="s">
        <v>343</v>
      </c>
      <c r="C202" t="s">
        <v>344</v>
      </c>
      <c r="D202" t="s">
        <v>31</v>
      </c>
      <c r="E202" s="1">
        <v>43665</v>
      </c>
      <c r="F202" s="2">
        <f ca="1">DATEDIF(EmpTable[[#This Row],[Start Date]],TODAY(),"Y")</f>
        <v>6</v>
      </c>
      <c r="G202" t="s">
        <v>27</v>
      </c>
      <c r="H202" t="s">
        <v>17</v>
      </c>
      <c r="I202" t="s">
        <v>41</v>
      </c>
      <c r="J202">
        <v>719</v>
      </c>
      <c r="K202">
        <v>8628</v>
      </c>
      <c r="L202">
        <v>5</v>
      </c>
      <c r="M202">
        <v>0</v>
      </c>
      <c r="N202">
        <v>0</v>
      </c>
      <c r="O202">
        <v>8</v>
      </c>
    </row>
    <row r="203" spans="1:15" x14ac:dyDescent="0.3">
      <c r="A203">
        <v>202</v>
      </c>
      <c r="B203" t="s">
        <v>345</v>
      </c>
      <c r="C203" t="s">
        <v>346</v>
      </c>
      <c r="D203" t="s">
        <v>31</v>
      </c>
      <c r="E203" s="1">
        <v>43982</v>
      </c>
      <c r="F203" s="2">
        <f ca="1">DATEDIF(EmpTable[[#This Row],[Start Date]],TODAY(),"Y")</f>
        <v>5</v>
      </c>
      <c r="G203" t="s">
        <v>92</v>
      </c>
      <c r="H203" t="s">
        <v>28</v>
      </c>
      <c r="I203" t="s">
        <v>41</v>
      </c>
      <c r="J203">
        <v>2186</v>
      </c>
      <c r="K203">
        <v>26232</v>
      </c>
      <c r="L203">
        <v>1</v>
      </c>
      <c r="M203">
        <v>2</v>
      </c>
      <c r="N203">
        <v>0</v>
      </c>
      <c r="O203">
        <v>10</v>
      </c>
    </row>
    <row r="204" spans="1:15" x14ac:dyDescent="0.3">
      <c r="A204">
        <v>203</v>
      </c>
      <c r="B204" t="s">
        <v>347</v>
      </c>
      <c r="C204" t="s">
        <v>348</v>
      </c>
      <c r="D204" t="s">
        <v>31</v>
      </c>
      <c r="E204" s="1">
        <v>43603</v>
      </c>
      <c r="F204" s="2">
        <f ca="1">DATEDIF(EmpTable[[#This Row],[Start Date]],TODAY(),"Y")</f>
        <v>6</v>
      </c>
      <c r="G204" t="s">
        <v>87</v>
      </c>
      <c r="H204" t="s">
        <v>17</v>
      </c>
      <c r="I204" t="s">
        <v>18</v>
      </c>
      <c r="J204">
        <v>1605</v>
      </c>
      <c r="K204">
        <v>19260</v>
      </c>
      <c r="L204">
        <v>4.5</v>
      </c>
      <c r="M204">
        <v>5</v>
      </c>
      <c r="N204">
        <v>4</v>
      </c>
      <c r="O204">
        <v>9</v>
      </c>
    </row>
    <row r="205" spans="1:15" x14ac:dyDescent="0.3">
      <c r="A205">
        <v>204</v>
      </c>
      <c r="B205" t="s">
        <v>48</v>
      </c>
      <c r="C205" t="s">
        <v>349</v>
      </c>
      <c r="D205" t="s">
        <v>31</v>
      </c>
      <c r="E205" s="1">
        <v>43237</v>
      </c>
      <c r="F205" s="2">
        <f ca="1">DATEDIF(EmpTable[[#This Row],[Start Date]],TODAY(),"Y")</f>
        <v>7</v>
      </c>
      <c r="G205" t="s">
        <v>52</v>
      </c>
      <c r="H205" t="s">
        <v>17</v>
      </c>
      <c r="I205" t="s">
        <v>41</v>
      </c>
      <c r="J205">
        <v>2365</v>
      </c>
      <c r="K205">
        <v>28380</v>
      </c>
      <c r="L205">
        <v>1</v>
      </c>
      <c r="M205">
        <v>0</v>
      </c>
      <c r="N205">
        <v>0</v>
      </c>
      <c r="O205">
        <v>73</v>
      </c>
    </row>
    <row r="206" spans="1:15" x14ac:dyDescent="0.3">
      <c r="A206">
        <v>205</v>
      </c>
      <c r="B206" t="s">
        <v>350</v>
      </c>
      <c r="C206" t="s">
        <v>351</v>
      </c>
      <c r="D206" t="s">
        <v>31</v>
      </c>
      <c r="E206" s="1">
        <v>42842</v>
      </c>
      <c r="F206" s="2">
        <f ca="1">DATEDIF(EmpTable[[#This Row],[Start Date]],TODAY(),"Y")</f>
        <v>8</v>
      </c>
      <c r="G206" t="s">
        <v>352</v>
      </c>
      <c r="H206" t="s">
        <v>47</v>
      </c>
      <c r="I206" t="s">
        <v>41</v>
      </c>
      <c r="J206">
        <v>1096</v>
      </c>
      <c r="K206">
        <v>13152</v>
      </c>
      <c r="L206">
        <v>4.5</v>
      </c>
      <c r="M206">
        <v>4</v>
      </c>
      <c r="N206">
        <v>0</v>
      </c>
      <c r="O206">
        <v>8</v>
      </c>
    </row>
    <row r="207" spans="1:15" x14ac:dyDescent="0.3">
      <c r="A207">
        <v>206</v>
      </c>
      <c r="B207" t="s">
        <v>196</v>
      </c>
      <c r="C207" t="s">
        <v>353</v>
      </c>
      <c r="D207" t="s">
        <v>31</v>
      </c>
      <c r="E207" s="1">
        <v>43654</v>
      </c>
      <c r="F207" s="2">
        <f ca="1">DATEDIF(EmpTable[[#This Row],[Start Date]],TODAY(),"Y")</f>
        <v>6</v>
      </c>
      <c r="G207" t="s">
        <v>52</v>
      </c>
      <c r="H207" t="s">
        <v>17</v>
      </c>
      <c r="I207" t="s">
        <v>35</v>
      </c>
      <c r="J207">
        <v>1037</v>
      </c>
      <c r="K207">
        <v>12444</v>
      </c>
      <c r="L207">
        <v>3</v>
      </c>
      <c r="M207">
        <v>6</v>
      </c>
      <c r="N207">
        <v>0</v>
      </c>
      <c r="O207">
        <v>5</v>
      </c>
    </row>
    <row r="208" spans="1:15" x14ac:dyDescent="0.3">
      <c r="A208">
        <v>207</v>
      </c>
      <c r="B208" t="s">
        <v>32</v>
      </c>
      <c r="C208" t="s">
        <v>160</v>
      </c>
      <c r="D208" t="s">
        <v>31</v>
      </c>
      <c r="E208" s="1">
        <v>44168</v>
      </c>
      <c r="F208" s="2">
        <f ca="1">DATEDIF(EmpTable[[#This Row],[Start Date]],TODAY(),"Y")</f>
        <v>5</v>
      </c>
      <c r="G208" t="s">
        <v>52</v>
      </c>
      <c r="H208" t="s">
        <v>47</v>
      </c>
      <c r="I208" t="s">
        <v>18</v>
      </c>
      <c r="J208">
        <v>1757</v>
      </c>
      <c r="K208">
        <v>21084</v>
      </c>
      <c r="L208">
        <v>2</v>
      </c>
      <c r="M208">
        <v>6</v>
      </c>
      <c r="N208">
        <v>0</v>
      </c>
      <c r="O208">
        <v>13</v>
      </c>
    </row>
    <row r="209" spans="1:15" x14ac:dyDescent="0.3">
      <c r="A209">
        <v>208</v>
      </c>
      <c r="B209" t="s">
        <v>354</v>
      </c>
      <c r="C209" t="s">
        <v>355</v>
      </c>
      <c r="D209" t="s">
        <v>306</v>
      </c>
      <c r="E209" s="1">
        <v>44138</v>
      </c>
      <c r="F209" s="2">
        <f ca="1">DATEDIF(EmpTable[[#This Row],[Start Date]],TODAY(),"Y")</f>
        <v>5</v>
      </c>
      <c r="G209" t="s">
        <v>76</v>
      </c>
      <c r="H209" t="s">
        <v>17</v>
      </c>
      <c r="I209" t="s">
        <v>41</v>
      </c>
      <c r="J209">
        <v>3405</v>
      </c>
      <c r="K209">
        <v>40860</v>
      </c>
      <c r="L209">
        <v>5</v>
      </c>
      <c r="M209">
        <v>0</v>
      </c>
      <c r="N209">
        <v>0</v>
      </c>
      <c r="O209">
        <v>1</v>
      </c>
    </row>
    <row r="210" spans="1:15" x14ac:dyDescent="0.3">
      <c r="A210">
        <v>209</v>
      </c>
      <c r="B210" t="s">
        <v>356</v>
      </c>
      <c r="C210" t="s">
        <v>357</v>
      </c>
      <c r="D210" t="s">
        <v>31</v>
      </c>
      <c r="E210" s="1">
        <v>43262</v>
      </c>
      <c r="F210" s="2">
        <f ca="1">DATEDIF(EmpTable[[#This Row],[Start Date]],TODAY(),"Y")</f>
        <v>7</v>
      </c>
      <c r="G210" t="s">
        <v>40</v>
      </c>
      <c r="H210" t="s">
        <v>28</v>
      </c>
      <c r="I210" t="s">
        <v>18</v>
      </c>
      <c r="J210">
        <v>2154</v>
      </c>
      <c r="K210">
        <v>25848</v>
      </c>
      <c r="L210">
        <v>5</v>
      </c>
      <c r="M210">
        <v>0</v>
      </c>
      <c r="N210">
        <v>0</v>
      </c>
      <c r="O210">
        <v>0</v>
      </c>
    </row>
    <row r="211" spans="1:15" x14ac:dyDescent="0.3">
      <c r="A211">
        <v>210</v>
      </c>
      <c r="B211" t="s">
        <v>358</v>
      </c>
      <c r="C211" t="s">
        <v>359</v>
      </c>
      <c r="D211" t="s">
        <v>31</v>
      </c>
      <c r="E211" s="1">
        <v>43508</v>
      </c>
      <c r="F211" s="2">
        <f ca="1">DATEDIF(EmpTable[[#This Row],[Start Date]],TODAY(),"Y")</f>
        <v>7</v>
      </c>
      <c r="G211" t="s">
        <v>57</v>
      </c>
      <c r="H211" t="s">
        <v>17</v>
      </c>
      <c r="I211" t="s">
        <v>41</v>
      </c>
      <c r="J211">
        <v>805</v>
      </c>
      <c r="K211">
        <v>9660</v>
      </c>
      <c r="L211">
        <v>2</v>
      </c>
      <c r="M211">
        <v>0</v>
      </c>
      <c r="N211">
        <v>0</v>
      </c>
      <c r="O211">
        <v>6</v>
      </c>
    </row>
    <row r="212" spans="1:15" x14ac:dyDescent="0.3">
      <c r="A212">
        <v>211</v>
      </c>
      <c r="B212" t="s">
        <v>360</v>
      </c>
      <c r="C212" t="s">
        <v>361</v>
      </c>
      <c r="D212" t="s">
        <v>306</v>
      </c>
      <c r="E212" s="1">
        <v>43376</v>
      </c>
      <c r="F212" s="2">
        <f ca="1">DATEDIF(EmpTable[[#This Row],[Start Date]],TODAY(),"Y")</f>
        <v>7</v>
      </c>
      <c r="G212" t="s">
        <v>199</v>
      </c>
      <c r="H212" t="s">
        <v>17</v>
      </c>
      <c r="I212" t="s">
        <v>41</v>
      </c>
      <c r="J212">
        <v>3093</v>
      </c>
      <c r="K212">
        <v>37116</v>
      </c>
      <c r="L212">
        <v>4.5</v>
      </c>
      <c r="M212">
        <v>0</v>
      </c>
      <c r="N212">
        <v>0</v>
      </c>
      <c r="O212">
        <v>10</v>
      </c>
    </row>
    <row r="213" spans="1:15" x14ac:dyDescent="0.3">
      <c r="A213">
        <v>212</v>
      </c>
      <c r="B213" t="s">
        <v>29</v>
      </c>
      <c r="C213" t="s">
        <v>362</v>
      </c>
      <c r="D213" t="s">
        <v>31</v>
      </c>
      <c r="E213" s="1">
        <v>42957</v>
      </c>
      <c r="F213" s="2">
        <f ca="1">DATEDIF(EmpTable[[#This Row],[Start Date]],TODAY(),"Y")</f>
        <v>8</v>
      </c>
      <c r="G213" t="s">
        <v>117</v>
      </c>
      <c r="H213" t="s">
        <v>21</v>
      </c>
      <c r="I213" t="s">
        <v>18</v>
      </c>
      <c r="J213">
        <v>1039</v>
      </c>
      <c r="K213">
        <v>12468</v>
      </c>
      <c r="L213">
        <v>3</v>
      </c>
      <c r="M213">
        <v>2</v>
      </c>
      <c r="N213">
        <v>0</v>
      </c>
      <c r="O213">
        <v>87</v>
      </c>
    </row>
    <row r="214" spans="1:15" x14ac:dyDescent="0.3">
      <c r="A214">
        <v>213</v>
      </c>
      <c r="B214" t="s">
        <v>363</v>
      </c>
      <c r="C214" t="s">
        <v>364</v>
      </c>
      <c r="D214" t="s">
        <v>31</v>
      </c>
      <c r="E214" s="1">
        <v>43792</v>
      </c>
      <c r="F214" s="2">
        <f ca="1">DATEDIF(EmpTable[[#This Row],[Start Date]],TODAY(),"Y")</f>
        <v>6</v>
      </c>
      <c r="G214" t="s">
        <v>40</v>
      </c>
      <c r="H214" t="s">
        <v>17</v>
      </c>
      <c r="I214" t="s">
        <v>18</v>
      </c>
      <c r="J214">
        <v>1012</v>
      </c>
      <c r="K214">
        <v>12144</v>
      </c>
      <c r="L214">
        <v>3</v>
      </c>
      <c r="M214">
        <v>1</v>
      </c>
      <c r="N214">
        <v>0</v>
      </c>
      <c r="O214">
        <v>7</v>
      </c>
    </row>
    <row r="215" spans="1:15" x14ac:dyDescent="0.3">
      <c r="A215">
        <v>214</v>
      </c>
      <c r="B215" t="s">
        <v>222</v>
      </c>
      <c r="C215" t="s">
        <v>365</v>
      </c>
      <c r="D215" t="s">
        <v>31</v>
      </c>
      <c r="E215" s="1">
        <v>42899</v>
      </c>
      <c r="F215" s="2">
        <f ca="1">DATEDIF(EmpTable[[#This Row],[Start Date]],TODAY(),"Y")</f>
        <v>8</v>
      </c>
      <c r="G215" t="s">
        <v>38</v>
      </c>
      <c r="H215" t="s">
        <v>17</v>
      </c>
      <c r="I215" t="s">
        <v>41</v>
      </c>
      <c r="J215">
        <v>2216</v>
      </c>
      <c r="K215">
        <v>26592</v>
      </c>
      <c r="L215">
        <v>2</v>
      </c>
      <c r="M215">
        <v>0</v>
      </c>
      <c r="N215">
        <v>0</v>
      </c>
      <c r="O215">
        <v>11</v>
      </c>
    </row>
    <row r="216" spans="1:15" x14ac:dyDescent="0.3">
      <c r="A216">
        <v>215</v>
      </c>
      <c r="B216" t="s">
        <v>366</v>
      </c>
      <c r="C216" t="s">
        <v>349</v>
      </c>
      <c r="D216" t="s">
        <v>31</v>
      </c>
      <c r="E216" s="1">
        <v>44163</v>
      </c>
      <c r="F216" s="2">
        <f ca="1">DATEDIF(EmpTable[[#This Row],[Start Date]],TODAY(),"Y")</f>
        <v>5</v>
      </c>
      <c r="G216" t="s">
        <v>76</v>
      </c>
      <c r="H216" t="s">
        <v>17</v>
      </c>
      <c r="I216" t="s">
        <v>59</v>
      </c>
      <c r="J216">
        <v>2020</v>
      </c>
      <c r="K216">
        <v>24240</v>
      </c>
      <c r="L216">
        <v>4.5</v>
      </c>
      <c r="M216">
        <v>0</v>
      </c>
      <c r="N216">
        <v>5</v>
      </c>
      <c r="O216">
        <v>0</v>
      </c>
    </row>
    <row r="217" spans="1:15" x14ac:dyDescent="0.3">
      <c r="A217">
        <v>216</v>
      </c>
      <c r="B217" t="s">
        <v>19</v>
      </c>
      <c r="C217" t="s">
        <v>367</v>
      </c>
      <c r="D217" t="s">
        <v>31</v>
      </c>
      <c r="E217" s="1">
        <v>42680</v>
      </c>
      <c r="F217" s="2">
        <f ca="1">DATEDIF(EmpTable[[#This Row],[Start Date]],TODAY(),"Y")</f>
        <v>9</v>
      </c>
      <c r="G217" t="s">
        <v>34</v>
      </c>
      <c r="H217" t="s">
        <v>28</v>
      </c>
      <c r="I217" t="s">
        <v>35</v>
      </c>
      <c r="J217">
        <v>3309</v>
      </c>
      <c r="K217">
        <v>39708</v>
      </c>
      <c r="L217">
        <v>4.5</v>
      </c>
      <c r="M217">
        <v>1</v>
      </c>
      <c r="N217">
        <v>0</v>
      </c>
      <c r="O217">
        <v>7</v>
      </c>
    </row>
    <row r="218" spans="1:15" x14ac:dyDescent="0.3">
      <c r="A218">
        <v>217</v>
      </c>
      <c r="B218" t="s">
        <v>368</v>
      </c>
      <c r="C218" t="s">
        <v>369</v>
      </c>
      <c r="D218" t="s">
        <v>31</v>
      </c>
      <c r="E218" s="1">
        <v>43956</v>
      </c>
      <c r="F218" s="2">
        <f ca="1">DATEDIF(EmpTable[[#This Row],[Start Date]],TODAY(),"Y")</f>
        <v>5</v>
      </c>
      <c r="G218" t="s">
        <v>40</v>
      </c>
      <c r="H218" t="s">
        <v>28</v>
      </c>
      <c r="I218" t="s">
        <v>35</v>
      </c>
      <c r="J218">
        <v>983</v>
      </c>
      <c r="K218">
        <v>11796</v>
      </c>
      <c r="L218">
        <v>2</v>
      </c>
      <c r="M218">
        <v>6</v>
      </c>
      <c r="N218">
        <v>0</v>
      </c>
      <c r="O218">
        <v>0</v>
      </c>
    </row>
    <row r="219" spans="1:15" x14ac:dyDescent="0.3">
      <c r="A219">
        <v>218</v>
      </c>
      <c r="B219" t="s">
        <v>63</v>
      </c>
      <c r="C219" t="s">
        <v>370</v>
      </c>
      <c r="D219" t="s">
        <v>31</v>
      </c>
      <c r="E219" s="1">
        <v>43184</v>
      </c>
      <c r="F219" s="2">
        <f ca="1">DATEDIF(EmpTable[[#This Row],[Start Date]],TODAY(),"Y")</f>
        <v>7</v>
      </c>
      <c r="G219" t="s">
        <v>27</v>
      </c>
      <c r="H219" t="s">
        <v>17</v>
      </c>
      <c r="I219" t="s">
        <v>41</v>
      </c>
      <c r="J219">
        <v>741</v>
      </c>
      <c r="K219">
        <v>8892</v>
      </c>
      <c r="L219">
        <v>3</v>
      </c>
      <c r="M219">
        <v>0</v>
      </c>
      <c r="N219">
        <v>0</v>
      </c>
      <c r="O219">
        <v>1</v>
      </c>
    </row>
    <row r="220" spans="1:15" x14ac:dyDescent="0.3">
      <c r="A220">
        <v>219</v>
      </c>
      <c r="B220" t="s">
        <v>169</v>
      </c>
      <c r="C220" t="s">
        <v>371</v>
      </c>
      <c r="D220" t="s">
        <v>31</v>
      </c>
      <c r="E220" s="1">
        <v>42626</v>
      </c>
      <c r="F220" s="2">
        <f ca="1">DATEDIF(EmpTable[[#This Row],[Start Date]],TODAY(),"Y")</f>
        <v>9</v>
      </c>
      <c r="G220" t="s">
        <v>40</v>
      </c>
      <c r="H220" t="s">
        <v>28</v>
      </c>
      <c r="I220" t="s">
        <v>41</v>
      </c>
      <c r="J220">
        <v>1171</v>
      </c>
      <c r="K220">
        <v>14052</v>
      </c>
      <c r="L220">
        <v>4.5</v>
      </c>
      <c r="M220">
        <v>0</v>
      </c>
      <c r="N220">
        <v>0</v>
      </c>
      <c r="O220">
        <v>0</v>
      </c>
    </row>
    <row r="221" spans="1:15" x14ac:dyDescent="0.3">
      <c r="A221">
        <v>220</v>
      </c>
      <c r="B221" t="s">
        <v>372</v>
      </c>
      <c r="C221" t="s">
        <v>373</v>
      </c>
      <c r="D221" t="s">
        <v>31</v>
      </c>
      <c r="E221" s="1">
        <v>43817</v>
      </c>
      <c r="F221" s="2">
        <f ca="1">DATEDIF(EmpTable[[#This Row],[Start Date]],TODAY(),"Y")</f>
        <v>6</v>
      </c>
      <c r="G221" t="s">
        <v>76</v>
      </c>
      <c r="H221" t="s">
        <v>17</v>
      </c>
      <c r="I221" t="s">
        <v>35</v>
      </c>
      <c r="J221">
        <v>2512</v>
      </c>
      <c r="K221">
        <v>30144</v>
      </c>
      <c r="L221">
        <v>5</v>
      </c>
      <c r="M221">
        <v>6</v>
      </c>
      <c r="N221">
        <v>0</v>
      </c>
      <c r="O221">
        <v>10</v>
      </c>
    </row>
    <row r="222" spans="1:15" x14ac:dyDescent="0.3">
      <c r="A222">
        <v>221</v>
      </c>
      <c r="B222" t="s">
        <v>374</v>
      </c>
      <c r="C222" t="s">
        <v>375</v>
      </c>
      <c r="D222" t="s">
        <v>306</v>
      </c>
      <c r="E222" s="1">
        <v>43553</v>
      </c>
      <c r="F222" s="2">
        <f ca="1">DATEDIF(EmpTable[[#This Row],[Start Date]],TODAY(),"Y")</f>
        <v>6</v>
      </c>
      <c r="G222" t="s">
        <v>16</v>
      </c>
      <c r="H222" t="s">
        <v>17</v>
      </c>
      <c r="I222" t="s">
        <v>18</v>
      </c>
      <c r="J222">
        <v>1608</v>
      </c>
      <c r="K222">
        <v>19296</v>
      </c>
      <c r="L222">
        <v>1</v>
      </c>
      <c r="M222">
        <v>0</v>
      </c>
      <c r="N222">
        <v>3</v>
      </c>
      <c r="O222">
        <v>4</v>
      </c>
    </row>
    <row r="223" spans="1:15" x14ac:dyDescent="0.3">
      <c r="A223">
        <v>222</v>
      </c>
      <c r="B223" t="s">
        <v>194</v>
      </c>
      <c r="C223" t="s">
        <v>376</v>
      </c>
      <c r="D223" t="s">
        <v>31</v>
      </c>
      <c r="E223" s="1">
        <v>43945</v>
      </c>
      <c r="F223" s="2">
        <f ca="1">DATEDIF(EmpTable[[#This Row],[Start Date]],TODAY(),"Y")</f>
        <v>5</v>
      </c>
      <c r="G223" t="s">
        <v>76</v>
      </c>
      <c r="H223" t="s">
        <v>28</v>
      </c>
      <c r="I223" t="s">
        <v>35</v>
      </c>
      <c r="J223">
        <v>1677</v>
      </c>
      <c r="K223">
        <v>20124</v>
      </c>
      <c r="L223">
        <v>1</v>
      </c>
      <c r="M223">
        <v>0</v>
      </c>
      <c r="N223">
        <v>0</v>
      </c>
      <c r="O223">
        <v>12</v>
      </c>
    </row>
    <row r="224" spans="1:15" x14ac:dyDescent="0.3">
      <c r="A224">
        <v>223</v>
      </c>
      <c r="B224" t="s">
        <v>377</v>
      </c>
      <c r="C224" t="s">
        <v>378</v>
      </c>
      <c r="D224" t="s">
        <v>306</v>
      </c>
      <c r="E224" s="1">
        <v>43215</v>
      </c>
      <c r="F224" s="2">
        <f ca="1">DATEDIF(EmpTable[[#This Row],[Start Date]],TODAY(),"Y")</f>
        <v>7</v>
      </c>
      <c r="G224" t="s">
        <v>76</v>
      </c>
      <c r="H224" t="s">
        <v>17</v>
      </c>
      <c r="I224" t="s">
        <v>18</v>
      </c>
      <c r="J224">
        <v>3414</v>
      </c>
      <c r="K224">
        <v>40968</v>
      </c>
      <c r="L224">
        <v>5</v>
      </c>
      <c r="M224">
        <v>0</v>
      </c>
      <c r="N224">
        <v>0</v>
      </c>
      <c r="O224">
        <v>2</v>
      </c>
    </row>
    <row r="225" spans="1:15" x14ac:dyDescent="0.3">
      <c r="A225">
        <v>224</v>
      </c>
      <c r="B225" t="s">
        <v>379</v>
      </c>
      <c r="C225" t="s">
        <v>380</v>
      </c>
      <c r="D225" t="s">
        <v>31</v>
      </c>
      <c r="E225" s="1">
        <v>43553</v>
      </c>
      <c r="F225" s="2">
        <f ca="1">DATEDIF(EmpTable[[#This Row],[Start Date]],TODAY(),"Y")</f>
        <v>6</v>
      </c>
      <c r="G225" t="s">
        <v>76</v>
      </c>
      <c r="H225" t="s">
        <v>293</v>
      </c>
      <c r="I225" t="s">
        <v>41</v>
      </c>
      <c r="J225">
        <v>1358</v>
      </c>
      <c r="K225">
        <v>16296</v>
      </c>
      <c r="L225">
        <v>5</v>
      </c>
      <c r="M225">
        <v>0</v>
      </c>
      <c r="N225">
        <v>0</v>
      </c>
      <c r="O225">
        <v>10</v>
      </c>
    </row>
    <row r="226" spans="1:15" x14ac:dyDescent="0.3">
      <c r="A226">
        <v>225</v>
      </c>
      <c r="B226" t="s">
        <v>32</v>
      </c>
      <c r="C226" t="s">
        <v>381</v>
      </c>
      <c r="D226" t="s">
        <v>31</v>
      </c>
      <c r="E226" s="1">
        <v>43694</v>
      </c>
      <c r="F226" s="2">
        <f ca="1">DATEDIF(EmpTable[[#This Row],[Start Date]],TODAY(),"Y")</f>
        <v>6</v>
      </c>
      <c r="G226" t="s">
        <v>40</v>
      </c>
      <c r="H226" t="s">
        <v>17</v>
      </c>
      <c r="I226" t="s">
        <v>59</v>
      </c>
      <c r="J226">
        <v>703</v>
      </c>
      <c r="K226">
        <v>8436</v>
      </c>
      <c r="L226">
        <v>4.5</v>
      </c>
      <c r="M226">
        <v>0</v>
      </c>
      <c r="N226">
        <v>0</v>
      </c>
      <c r="O226">
        <v>64</v>
      </c>
    </row>
    <row r="227" spans="1:15" x14ac:dyDescent="0.3">
      <c r="A227">
        <v>226</v>
      </c>
      <c r="B227" t="s">
        <v>382</v>
      </c>
      <c r="C227" t="s">
        <v>383</v>
      </c>
      <c r="D227" t="s">
        <v>306</v>
      </c>
      <c r="E227" s="1">
        <v>43443</v>
      </c>
      <c r="F227" s="2">
        <f ca="1">DATEDIF(EmpTable[[#This Row],[Start Date]],TODAY(),"Y")</f>
        <v>7</v>
      </c>
      <c r="G227" t="s">
        <v>34</v>
      </c>
      <c r="H227" t="s">
        <v>17</v>
      </c>
      <c r="I227" t="s">
        <v>41</v>
      </c>
      <c r="J227">
        <v>2017</v>
      </c>
      <c r="K227">
        <v>24204</v>
      </c>
      <c r="L227">
        <v>2</v>
      </c>
      <c r="M227">
        <v>0</v>
      </c>
      <c r="N227">
        <v>1</v>
      </c>
      <c r="O227">
        <v>8</v>
      </c>
    </row>
    <row r="228" spans="1:15" x14ac:dyDescent="0.3">
      <c r="A228">
        <v>227</v>
      </c>
      <c r="B228" t="s">
        <v>262</v>
      </c>
      <c r="C228" t="s">
        <v>384</v>
      </c>
      <c r="D228" t="s">
        <v>31</v>
      </c>
      <c r="E228" s="1">
        <v>43687</v>
      </c>
      <c r="F228" s="2">
        <f ca="1">DATEDIF(EmpTable[[#This Row],[Start Date]],TODAY(),"Y")</f>
        <v>6</v>
      </c>
      <c r="G228" t="s">
        <v>34</v>
      </c>
      <c r="H228" t="s">
        <v>17</v>
      </c>
      <c r="I228" t="s">
        <v>41</v>
      </c>
      <c r="J228">
        <v>1806</v>
      </c>
      <c r="K228">
        <v>21672</v>
      </c>
      <c r="L228">
        <v>5</v>
      </c>
      <c r="M228">
        <v>0</v>
      </c>
      <c r="N228">
        <v>0</v>
      </c>
      <c r="O228">
        <v>7</v>
      </c>
    </row>
    <row r="229" spans="1:15" x14ac:dyDescent="0.3">
      <c r="A229">
        <v>228</v>
      </c>
      <c r="B229" t="s">
        <v>382</v>
      </c>
      <c r="C229" t="s">
        <v>385</v>
      </c>
      <c r="D229" t="s">
        <v>306</v>
      </c>
      <c r="E229" s="1">
        <v>43663</v>
      </c>
      <c r="F229" s="2">
        <f ca="1">DATEDIF(EmpTable[[#This Row],[Start Date]],TODAY(),"Y")</f>
        <v>6</v>
      </c>
      <c r="G229" t="s">
        <v>117</v>
      </c>
      <c r="H229" t="s">
        <v>17</v>
      </c>
      <c r="I229" t="s">
        <v>35</v>
      </c>
      <c r="J229">
        <v>2421</v>
      </c>
      <c r="K229">
        <v>29052</v>
      </c>
      <c r="L229">
        <v>3</v>
      </c>
      <c r="M229">
        <v>6</v>
      </c>
      <c r="N229">
        <v>0</v>
      </c>
      <c r="O229">
        <v>16</v>
      </c>
    </row>
    <row r="230" spans="1:15" x14ac:dyDescent="0.3">
      <c r="A230">
        <v>229</v>
      </c>
      <c r="B230" t="s">
        <v>185</v>
      </c>
      <c r="C230" t="s">
        <v>32</v>
      </c>
      <c r="D230" t="s">
        <v>31</v>
      </c>
      <c r="E230" s="1">
        <v>43256</v>
      </c>
      <c r="F230" s="2">
        <f ca="1">DATEDIF(EmpTable[[#This Row],[Start Date]],TODAY(),"Y")</f>
        <v>7</v>
      </c>
      <c r="G230" t="s">
        <v>57</v>
      </c>
      <c r="H230" t="s">
        <v>28</v>
      </c>
      <c r="I230" t="s">
        <v>35</v>
      </c>
      <c r="J230">
        <v>1461</v>
      </c>
      <c r="K230">
        <v>17532</v>
      </c>
      <c r="L230">
        <v>5</v>
      </c>
      <c r="M230">
        <v>1</v>
      </c>
      <c r="N230">
        <v>0</v>
      </c>
      <c r="O230">
        <v>7</v>
      </c>
    </row>
    <row r="231" spans="1:15" x14ac:dyDescent="0.3">
      <c r="A231">
        <v>230</v>
      </c>
      <c r="B231" t="s">
        <v>98</v>
      </c>
      <c r="C231" t="s">
        <v>386</v>
      </c>
      <c r="D231" t="s">
        <v>306</v>
      </c>
      <c r="E231" s="1">
        <v>44106</v>
      </c>
      <c r="F231" s="2">
        <f ca="1">DATEDIF(EmpTable[[#This Row],[Start Date]],TODAY(),"Y")</f>
        <v>5</v>
      </c>
      <c r="G231" t="s">
        <v>27</v>
      </c>
      <c r="H231" t="s">
        <v>17</v>
      </c>
      <c r="I231" t="s">
        <v>59</v>
      </c>
      <c r="J231">
        <v>1287</v>
      </c>
      <c r="K231">
        <v>15444</v>
      </c>
      <c r="L231">
        <v>1</v>
      </c>
      <c r="M231">
        <v>0</v>
      </c>
      <c r="N231">
        <v>0</v>
      </c>
      <c r="O231">
        <v>7</v>
      </c>
    </row>
    <row r="232" spans="1:15" x14ac:dyDescent="0.3">
      <c r="A232">
        <v>231</v>
      </c>
      <c r="B232" t="s">
        <v>387</v>
      </c>
      <c r="C232" t="s">
        <v>388</v>
      </c>
      <c r="D232" t="s">
        <v>31</v>
      </c>
      <c r="E232" s="1">
        <v>43244</v>
      </c>
      <c r="F232" s="2">
        <f ca="1">DATEDIF(EmpTable[[#This Row],[Start Date]],TODAY(),"Y")</f>
        <v>7</v>
      </c>
      <c r="G232" t="s">
        <v>27</v>
      </c>
      <c r="H232" t="s">
        <v>17</v>
      </c>
      <c r="I232" t="s">
        <v>41</v>
      </c>
      <c r="J232">
        <v>2756</v>
      </c>
      <c r="K232">
        <v>33072</v>
      </c>
      <c r="L232">
        <v>3</v>
      </c>
      <c r="M232">
        <v>2</v>
      </c>
      <c r="N232">
        <v>0</v>
      </c>
      <c r="O232">
        <v>4</v>
      </c>
    </row>
    <row r="233" spans="1:15" x14ac:dyDescent="0.3">
      <c r="A233">
        <v>232</v>
      </c>
      <c r="B233" t="s">
        <v>389</v>
      </c>
      <c r="C233" t="s">
        <v>390</v>
      </c>
      <c r="D233" t="s">
        <v>31</v>
      </c>
      <c r="E233" s="1">
        <v>43474</v>
      </c>
      <c r="F233" s="2">
        <f ca="1">DATEDIF(EmpTable[[#This Row],[Start Date]],TODAY(),"Y")</f>
        <v>7</v>
      </c>
      <c r="G233" t="s">
        <v>16</v>
      </c>
      <c r="H233" t="s">
        <v>17</v>
      </c>
      <c r="I233" t="s">
        <v>41</v>
      </c>
      <c r="J233">
        <v>2332</v>
      </c>
      <c r="K233">
        <v>27984</v>
      </c>
      <c r="L233">
        <v>5</v>
      </c>
      <c r="M233">
        <v>0</v>
      </c>
      <c r="N233">
        <v>0</v>
      </c>
      <c r="O233">
        <v>2</v>
      </c>
    </row>
    <row r="234" spans="1:15" x14ac:dyDescent="0.3">
      <c r="A234">
        <v>233</v>
      </c>
      <c r="B234" t="s">
        <v>391</v>
      </c>
      <c r="C234" t="s">
        <v>392</v>
      </c>
      <c r="D234" t="s">
        <v>31</v>
      </c>
      <c r="E234" s="1">
        <v>43795</v>
      </c>
      <c r="F234" s="2">
        <f ca="1">DATEDIF(EmpTable[[#This Row],[Start Date]],TODAY(),"Y")</f>
        <v>6</v>
      </c>
      <c r="G234" t="s">
        <v>75</v>
      </c>
      <c r="H234" t="s">
        <v>17</v>
      </c>
      <c r="I234" t="s">
        <v>41</v>
      </c>
      <c r="J234">
        <v>812</v>
      </c>
      <c r="K234">
        <v>9744</v>
      </c>
      <c r="L234">
        <v>3</v>
      </c>
      <c r="M234">
        <v>0</v>
      </c>
      <c r="N234">
        <v>0</v>
      </c>
      <c r="O234">
        <v>10</v>
      </c>
    </row>
    <row r="235" spans="1:15" x14ac:dyDescent="0.3">
      <c r="A235">
        <v>234</v>
      </c>
      <c r="B235" t="s">
        <v>393</v>
      </c>
      <c r="C235" t="s">
        <v>394</v>
      </c>
      <c r="D235" t="s">
        <v>31</v>
      </c>
      <c r="E235" s="1">
        <v>44103</v>
      </c>
      <c r="F235" s="2">
        <f ca="1">DATEDIF(EmpTable[[#This Row],[Start Date]],TODAY(),"Y")</f>
        <v>5</v>
      </c>
      <c r="G235" t="s">
        <v>27</v>
      </c>
      <c r="H235" t="s">
        <v>17</v>
      </c>
      <c r="I235" t="s">
        <v>35</v>
      </c>
      <c r="J235">
        <v>2651</v>
      </c>
      <c r="K235">
        <v>31812</v>
      </c>
      <c r="L235">
        <v>1</v>
      </c>
      <c r="M235">
        <v>0</v>
      </c>
      <c r="N235">
        <v>0</v>
      </c>
      <c r="O235">
        <v>12</v>
      </c>
    </row>
    <row r="236" spans="1:15" x14ac:dyDescent="0.3">
      <c r="A236">
        <v>235</v>
      </c>
      <c r="B236" t="s">
        <v>126</v>
      </c>
      <c r="C236" t="s">
        <v>395</v>
      </c>
      <c r="D236" t="s">
        <v>31</v>
      </c>
      <c r="E236" s="1">
        <v>43547</v>
      </c>
      <c r="F236" s="2">
        <f ca="1">DATEDIF(EmpTable[[#This Row],[Start Date]],TODAY(),"Y")</f>
        <v>6</v>
      </c>
      <c r="G236" t="s">
        <v>38</v>
      </c>
      <c r="H236" t="s">
        <v>28</v>
      </c>
      <c r="I236" t="s">
        <v>18</v>
      </c>
      <c r="J236">
        <v>2331</v>
      </c>
      <c r="K236">
        <v>27972</v>
      </c>
      <c r="L236">
        <v>4.5</v>
      </c>
      <c r="M236">
        <v>0</v>
      </c>
      <c r="N236">
        <v>0</v>
      </c>
      <c r="O236">
        <v>9</v>
      </c>
    </row>
    <row r="237" spans="1:15" x14ac:dyDescent="0.3">
      <c r="A237">
        <v>236</v>
      </c>
      <c r="B237" t="s">
        <v>32</v>
      </c>
      <c r="C237" t="s">
        <v>396</v>
      </c>
      <c r="D237" t="s">
        <v>31</v>
      </c>
      <c r="E237" s="1">
        <v>43826</v>
      </c>
      <c r="F237" s="2">
        <f ca="1">DATEDIF(EmpTable[[#This Row],[Start Date]],TODAY(),"Y")</f>
        <v>6</v>
      </c>
      <c r="G237" t="s">
        <v>38</v>
      </c>
      <c r="H237" t="s">
        <v>21</v>
      </c>
      <c r="I237" t="s">
        <v>35</v>
      </c>
      <c r="J237">
        <v>2162</v>
      </c>
      <c r="K237">
        <v>25944</v>
      </c>
      <c r="L237">
        <v>5</v>
      </c>
      <c r="M237">
        <v>0</v>
      </c>
      <c r="N237">
        <v>0</v>
      </c>
      <c r="O237">
        <v>13</v>
      </c>
    </row>
    <row r="238" spans="1:15" x14ac:dyDescent="0.3">
      <c r="A238">
        <v>237</v>
      </c>
      <c r="B238" t="s">
        <v>397</v>
      </c>
      <c r="C238" t="s">
        <v>398</v>
      </c>
      <c r="D238" t="s">
        <v>31</v>
      </c>
      <c r="E238" s="1">
        <v>43991</v>
      </c>
      <c r="F238" s="2">
        <f ca="1">DATEDIF(EmpTable[[#This Row],[Start Date]],TODAY(),"Y")</f>
        <v>5</v>
      </c>
      <c r="G238" t="s">
        <v>27</v>
      </c>
      <c r="H238" t="s">
        <v>17</v>
      </c>
      <c r="I238" t="s">
        <v>35</v>
      </c>
      <c r="J238">
        <v>1952</v>
      </c>
      <c r="K238">
        <v>23424</v>
      </c>
      <c r="L238">
        <v>3</v>
      </c>
      <c r="M238">
        <v>1</v>
      </c>
      <c r="N238">
        <v>1</v>
      </c>
      <c r="O238">
        <v>34</v>
      </c>
    </row>
    <row r="239" spans="1:15" x14ac:dyDescent="0.3">
      <c r="A239">
        <v>238</v>
      </c>
      <c r="B239" t="s">
        <v>78</v>
      </c>
      <c r="C239" t="s">
        <v>399</v>
      </c>
      <c r="D239" t="s">
        <v>306</v>
      </c>
      <c r="E239" s="1">
        <v>43931</v>
      </c>
      <c r="F239" s="2">
        <f ca="1">DATEDIF(EmpTable[[#This Row],[Start Date]],TODAY(),"Y")</f>
        <v>5</v>
      </c>
      <c r="G239" t="s">
        <v>34</v>
      </c>
      <c r="H239" t="s">
        <v>17</v>
      </c>
      <c r="I239" t="s">
        <v>35</v>
      </c>
      <c r="J239">
        <v>2976</v>
      </c>
      <c r="K239">
        <v>35712</v>
      </c>
      <c r="L239">
        <v>4.5</v>
      </c>
      <c r="M239">
        <v>0</v>
      </c>
      <c r="N239">
        <v>2</v>
      </c>
      <c r="O239">
        <v>6</v>
      </c>
    </row>
    <row r="240" spans="1:15" x14ac:dyDescent="0.3">
      <c r="A240">
        <v>239</v>
      </c>
      <c r="B240" t="s">
        <v>29</v>
      </c>
      <c r="C240" t="s">
        <v>400</v>
      </c>
      <c r="D240" t="s">
        <v>31</v>
      </c>
      <c r="E240" s="1">
        <v>43272</v>
      </c>
      <c r="F240" s="2">
        <f ca="1">DATEDIF(EmpTable[[#This Row],[Start Date]],TODAY(),"Y")</f>
        <v>7</v>
      </c>
      <c r="G240" t="s">
        <v>27</v>
      </c>
      <c r="H240" t="s">
        <v>21</v>
      </c>
      <c r="I240" t="s">
        <v>41</v>
      </c>
      <c r="J240">
        <v>2080</v>
      </c>
      <c r="K240">
        <v>24960</v>
      </c>
      <c r="L240">
        <v>5</v>
      </c>
      <c r="M240">
        <v>0</v>
      </c>
      <c r="N240">
        <v>5</v>
      </c>
      <c r="O240">
        <v>13</v>
      </c>
    </row>
    <row r="241" spans="1:15" x14ac:dyDescent="0.3">
      <c r="A241">
        <v>240</v>
      </c>
      <c r="B241" t="s">
        <v>340</v>
      </c>
      <c r="C241" t="s">
        <v>401</v>
      </c>
      <c r="D241" t="s">
        <v>31</v>
      </c>
      <c r="E241" s="1">
        <v>43431</v>
      </c>
      <c r="F241" s="2">
        <f ca="1">DATEDIF(EmpTable[[#This Row],[Start Date]],TODAY(),"Y")</f>
        <v>7</v>
      </c>
      <c r="G241" t="s">
        <v>57</v>
      </c>
      <c r="H241" t="s">
        <v>17</v>
      </c>
      <c r="I241" t="s">
        <v>41</v>
      </c>
      <c r="J241">
        <v>1668</v>
      </c>
      <c r="K241">
        <v>20016</v>
      </c>
      <c r="L241">
        <v>4.5</v>
      </c>
      <c r="M241">
        <v>0</v>
      </c>
      <c r="N241">
        <v>3</v>
      </c>
      <c r="O241">
        <v>3</v>
      </c>
    </row>
    <row r="242" spans="1:15" x14ac:dyDescent="0.3">
      <c r="A242">
        <v>241</v>
      </c>
      <c r="B242" t="s">
        <v>32</v>
      </c>
      <c r="C242" t="s">
        <v>402</v>
      </c>
      <c r="D242" t="s">
        <v>31</v>
      </c>
      <c r="E242" s="1">
        <v>42556</v>
      </c>
      <c r="F242" s="2">
        <f ca="1">DATEDIF(EmpTable[[#This Row],[Start Date]],TODAY(),"Y")</f>
        <v>9</v>
      </c>
      <c r="G242" t="s">
        <v>57</v>
      </c>
      <c r="H242" t="s">
        <v>17</v>
      </c>
      <c r="I242" t="s">
        <v>41</v>
      </c>
      <c r="J242">
        <v>2234</v>
      </c>
      <c r="K242">
        <v>26808</v>
      </c>
      <c r="L242">
        <v>5</v>
      </c>
      <c r="M242">
        <v>3</v>
      </c>
      <c r="N242">
        <v>0</v>
      </c>
      <c r="O242">
        <v>7</v>
      </c>
    </row>
    <row r="243" spans="1:15" x14ac:dyDescent="0.3">
      <c r="A243">
        <v>242</v>
      </c>
      <c r="B243" t="s">
        <v>403</v>
      </c>
      <c r="C243" t="s">
        <v>404</v>
      </c>
      <c r="D243" t="s">
        <v>31</v>
      </c>
      <c r="E243" s="1">
        <v>43765</v>
      </c>
      <c r="F243" s="2">
        <f ca="1">DATEDIF(EmpTable[[#This Row],[Start Date]],TODAY(),"Y")</f>
        <v>6</v>
      </c>
      <c r="G243" t="s">
        <v>40</v>
      </c>
      <c r="H243" t="s">
        <v>47</v>
      </c>
      <c r="I243" t="s">
        <v>59</v>
      </c>
      <c r="J243">
        <v>2096</v>
      </c>
      <c r="K243">
        <v>25152</v>
      </c>
      <c r="L243">
        <v>3</v>
      </c>
      <c r="M243">
        <v>5</v>
      </c>
      <c r="N243">
        <v>2</v>
      </c>
      <c r="O243">
        <v>0</v>
      </c>
    </row>
    <row r="244" spans="1:15" x14ac:dyDescent="0.3">
      <c r="A244">
        <v>243</v>
      </c>
      <c r="B244" t="s">
        <v>32</v>
      </c>
      <c r="C244" t="s">
        <v>405</v>
      </c>
      <c r="D244" t="s">
        <v>31</v>
      </c>
      <c r="E244" s="1">
        <v>43612</v>
      </c>
      <c r="F244" s="2">
        <f ca="1">DATEDIF(EmpTable[[#This Row],[Start Date]],TODAY(),"Y")</f>
        <v>6</v>
      </c>
      <c r="G244" t="s">
        <v>27</v>
      </c>
      <c r="H244" t="s">
        <v>21</v>
      </c>
      <c r="I244" t="s">
        <v>41</v>
      </c>
      <c r="J244">
        <v>2129</v>
      </c>
      <c r="K244">
        <v>25548</v>
      </c>
      <c r="L244">
        <v>3</v>
      </c>
      <c r="M244">
        <v>1</v>
      </c>
      <c r="N244">
        <v>1</v>
      </c>
      <c r="O244">
        <v>3</v>
      </c>
    </row>
    <row r="245" spans="1:15" x14ac:dyDescent="0.3">
      <c r="A245">
        <v>244</v>
      </c>
      <c r="B245" t="s">
        <v>406</v>
      </c>
      <c r="C245" t="s">
        <v>407</v>
      </c>
      <c r="D245" t="s">
        <v>31</v>
      </c>
      <c r="E245" s="1">
        <v>43508</v>
      </c>
      <c r="F245" s="2">
        <f ca="1">DATEDIF(EmpTable[[#This Row],[Start Date]],TODAY(),"Y")</f>
        <v>7</v>
      </c>
      <c r="G245" t="s">
        <v>27</v>
      </c>
      <c r="H245" t="s">
        <v>21</v>
      </c>
      <c r="I245" t="s">
        <v>41</v>
      </c>
      <c r="J245">
        <v>1429</v>
      </c>
      <c r="K245">
        <v>17148</v>
      </c>
      <c r="L245">
        <v>3</v>
      </c>
      <c r="M245">
        <v>0</v>
      </c>
      <c r="N245">
        <v>5</v>
      </c>
      <c r="O245">
        <v>8</v>
      </c>
    </row>
    <row r="246" spans="1:15" x14ac:dyDescent="0.3">
      <c r="A246">
        <v>245</v>
      </c>
      <c r="B246" t="s">
        <v>32</v>
      </c>
      <c r="C246" t="s">
        <v>408</v>
      </c>
      <c r="D246" t="s">
        <v>31</v>
      </c>
      <c r="E246" s="1">
        <v>44126</v>
      </c>
      <c r="F246" s="2">
        <f ca="1">DATEDIF(EmpTable[[#This Row],[Start Date]],TODAY(),"Y")</f>
        <v>5</v>
      </c>
      <c r="G246" t="s">
        <v>27</v>
      </c>
      <c r="H246" t="s">
        <v>28</v>
      </c>
      <c r="I246" t="s">
        <v>35</v>
      </c>
      <c r="J246">
        <v>1479</v>
      </c>
      <c r="K246">
        <v>17748</v>
      </c>
      <c r="L246">
        <v>3</v>
      </c>
      <c r="M246">
        <v>5</v>
      </c>
      <c r="N246">
        <v>4</v>
      </c>
      <c r="O246">
        <v>8</v>
      </c>
    </row>
    <row r="247" spans="1:15" x14ac:dyDescent="0.3">
      <c r="A247">
        <v>246</v>
      </c>
      <c r="B247" t="s">
        <v>164</v>
      </c>
      <c r="C247" t="s">
        <v>409</v>
      </c>
      <c r="D247" t="s">
        <v>31</v>
      </c>
      <c r="E247" s="1">
        <v>44181</v>
      </c>
      <c r="F247" s="2">
        <f ca="1">DATEDIF(EmpTable[[#This Row],[Start Date]],TODAY(),"Y")</f>
        <v>5</v>
      </c>
      <c r="G247" t="s">
        <v>16</v>
      </c>
      <c r="H247" t="s">
        <v>28</v>
      </c>
      <c r="I247" t="s">
        <v>35</v>
      </c>
      <c r="J247">
        <v>2884</v>
      </c>
      <c r="K247">
        <v>34608</v>
      </c>
      <c r="L247">
        <v>5</v>
      </c>
      <c r="M247">
        <v>1</v>
      </c>
      <c r="N247">
        <v>6</v>
      </c>
      <c r="O247">
        <v>3</v>
      </c>
    </row>
    <row r="248" spans="1:15" x14ac:dyDescent="0.3">
      <c r="A248">
        <v>247</v>
      </c>
      <c r="B248" t="s">
        <v>66</v>
      </c>
      <c r="C248" t="s">
        <v>410</v>
      </c>
      <c r="D248" t="s">
        <v>31</v>
      </c>
      <c r="E248" s="1">
        <v>44167</v>
      </c>
      <c r="F248" s="2">
        <f ca="1">DATEDIF(EmpTable[[#This Row],[Start Date]],TODAY(),"Y")</f>
        <v>5</v>
      </c>
      <c r="G248" t="s">
        <v>75</v>
      </c>
      <c r="H248" t="s">
        <v>47</v>
      </c>
      <c r="I248" t="s">
        <v>41</v>
      </c>
      <c r="J248">
        <v>2947</v>
      </c>
      <c r="K248">
        <v>35364</v>
      </c>
      <c r="L248">
        <v>3</v>
      </c>
      <c r="M248">
        <v>5</v>
      </c>
      <c r="N248">
        <v>0</v>
      </c>
      <c r="O248">
        <v>1</v>
      </c>
    </row>
    <row r="249" spans="1:15" x14ac:dyDescent="0.3">
      <c r="A249">
        <v>248</v>
      </c>
      <c r="B249" t="s">
        <v>262</v>
      </c>
      <c r="C249" t="s">
        <v>411</v>
      </c>
      <c r="D249" t="s">
        <v>31</v>
      </c>
      <c r="E249" s="1">
        <v>43275</v>
      </c>
      <c r="F249" s="2">
        <f ca="1">DATEDIF(EmpTable[[#This Row],[Start Date]],TODAY(),"Y")</f>
        <v>7</v>
      </c>
      <c r="G249" t="s">
        <v>16</v>
      </c>
      <c r="H249" t="s">
        <v>17</v>
      </c>
      <c r="I249" t="s">
        <v>35</v>
      </c>
      <c r="J249">
        <v>1795</v>
      </c>
      <c r="K249">
        <v>21540</v>
      </c>
      <c r="L249">
        <v>1</v>
      </c>
      <c r="M249">
        <v>0</v>
      </c>
      <c r="N249">
        <v>0</v>
      </c>
      <c r="O249">
        <v>4</v>
      </c>
    </row>
    <row r="250" spans="1:15" x14ac:dyDescent="0.3">
      <c r="A250">
        <v>249</v>
      </c>
      <c r="B250" t="s">
        <v>412</v>
      </c>
      <c r="C250" t="s">
        <v>197</v>
      </c>
      <c r="D250" t="s">
        <v>306</v>
      </c>
      <c r="E250" s="1">
        <v>43137</v>
      </c>
      <c r="F250" s="2">
        <f ca="1">DATEDIF(EmpTable[[#This Row],[Start Date]],TODAY(),"Y")</f>
        <v>8</v>
      </c>
      <c r="G250" t="s">
        <v>40</v>
      </c>
      <c r="H250" t="s">
        <v>17</v>
      </c>
      <c r="I250" t="s">
        <v>18</v>
      </c>
      <c r="J250">
        <v>1982</v>
      </c>
      <c r="K250">
        <v>23784</v>
      </c>
      <c r="L250">
        <v>5</v>
      </c>
      <c r="M250">
        <v>1</v>
      </c>
      <c r="N250">
        <v>0</v>
      </c>
      <c r="O250">
        <v>7</v>
      </c>
    </row>
    <row r="251" spans="1:15" x14ac:dyDescent="0.3">
      <c r="A251">
        <v>250</v>
      </c>
      <c r="B251" t="s">
        <v>32</v>
      </c>
      <c r="C251" t="s">
        <v>413</v>
      </c>
      <c r="D251" t="s">
        <v>31</v>
      </c>
      <c r="E251" s="1">
        <v>44162</v>
      </c>
      <c r="F251" s="2">
        <f ca="1">DATEDIF(EmpTable[[#This Row],[Start Date]],TODAY(),"Y")</f>
        <v>5</v>
      </c>
      <c r="G251" t="s">
        <v>40</v>
      </c>
      <c r="H251" t="s">
        <v>17</v>
      </c>
      <c r="I251" t="s">
        <v>59</v>
      </c>
      <c r="J251">
        <v>2543</v>
      </c>
      <c r="K251">
        <v>30516</v>
      </c>
      <c r="L251">
        <v>5</v>
      </c>
      <c r="M251">
        <v>0</v>
      </c>
      <c r="N251">
        <v>0</v>
      </c>
      <c r="O251">
        <v>86</v>
      </c>
    </row>
    <row r="252" spans="1:15" x14ac:dyDescent="0.3">
      <c r="A252">
        <v>251</v>
      </c>
      <c r="B252" t="s">
        <v>414</v>
      </c>
      <c r="C252" t="s">
        <v>415</v>
      </c>
      <c r="D252" t="s">
        <v>306</v>
      </c>
      <c r="E252" s="1">
        <v>43869</v>
      </c>
      <c r="F252" s="2">
        <f ca="1">DATEDIF(EmpTable[[#This Row],[Start Date]],TODAY(),"Y")</f>
        <v>6</v>
      </c>
      <c r="G252" t="s">
        <v>27</v>
      </c>
      <c r="H252" t="s">
        <v>17</v>
      </c>
      <c r="I252" t="s">
        <v>41</v>
      </c>
      <c r="J252">
        <v>2787</v>
      </c>
      <c r="K252">
        <v>33444</v>
      </c>
      <c r="L252">
        <v>3</v>
      </c>
      <c r="M252">
        <v>3</v>
      </c>
      <c r="N252">
        <v>0</v>
      </c>
      <c r="O252">
        <v>12</v>
      </c>
    </row>
    <row r="253" spans="1:15" x14ac:dyDescent="0.3">
      <c r="A253">
        <v>252</v>
      </c>
      <c r="B253" t="s">
        <v>145</v>
      </c>
      <c r="C253" t="s">
        <v>416</v>
      </c>
      <c r="D253" t="s">
        <v>31</v>
      </c>
      <c r="E253" s="1">
        <v>43865</v>
      </c>
      <c r="F253" s="2">
        <f ca="1">DATEDIF(EmpTable[[#This Row],[Start Date]],TODAY(),"Y")</f>
        <v>6</v>
      </c>
      <c r="G253" t="s">
        <v>76</v>
      </c>
      <c r="H253" t="s">
        <v>17</v>
      </c>
      <c r="I253" t="s">
        <v>35</v>
      </c>
      <c r="J253">
        <v>1095</v>
      </c>
      <c r="K253">
        <v>13140</v>
      </c>
      <c r="L253">
        <v>5</v>
      </c>
      <c r="M253">
        <v>6</v>
      </c>
      <c r="N253">
        <v>0</v>
      </c>
      <c r="O253">
        <v>5</v>
      </c>
    </row>
    <row r="254" spans="1:15" x14ac:dyDescent="0.3">
      <c r="A254">
        <v>253</v>
      </c>
      <c r="B254" t="s">
        <v>36</v>
      </c>
      <c r="C254" t="s">
        <v>417</v>
      </c>
      <c r="D254" t="s">
        <v>306</v>
      </c>
      <c r="E254" s="1">
        <v>43936</v>
      </c>
      <c r="F254" s="2">
        <f ca="1">DATEDIF(EmpTable[[#This Row],[Start Date]],TODAY(),"Y")</f>
        <v>5</v>
      </c>
      <c r="G254" t="s">
        <v>27</v>
      </c>
      <c r="H254" t="s">
        <v>21</v>
      </c>
      <c r="I254" t="s">
        <v>41</v>
      </c>
      <c r="J254">
        <v>2009</v>
      </c>
      <c r="K254">
        <v>24108</v>
      </c>
      <c r="L254">
        <v>5</v>
      </c>
      <c r="M254">
        <v>0</v>
      </c>
      <c r="N254">
        <v>0</v>
      </c>
      <c r="O254">
        <v>0</v>
      </c>
    </row>
    <row r="255" spans="1:15" x14ac:dyDescent="0.3">
      <c r="A255">
        <v>254</v>
      </c>
      <c r="B255" t="s">
        <v>418</v>
      </c>
      <c r="C255" t="s">
        <v>419</v>
      </c>
      <c r="D255" t="s">
        <v>306</v>
      </c>
      <c r="E255" s="1">
        <v>42557</v>
      </c>
      <c r="F255" s="2">
        <f ca="1">DATEDIF(EmpTable[[#This Row],[Start Date]],TODAY(),"Y")</f>
        <v>9</v>
      </c>
      <c r="G255" t="s">
        <v>92</v>
      </c>
      <c r="H255" t="s">
        <v>17</v>
      </c>
      <c r="I255" t="s">
        <v>35</v>
      </c>
      <c r="J255">
        <v>1837</v>
      </c>
      <c r="K255">
        <v>22044</v>
      </c>
      <c r="L255">
        <v>3</v>
      </c>
      <c r="M255">
        <v>1</v>
      </c>
      <c r="N255">
        <v>0</v>
      </c>
      <c r="O255">
        <v>2</v>
      </c>
    </row>
    <row r="256" spans="1:15" x14ac:dyDescent="0.3">
      <c r="A256">
        <v>255</v>
      </c>
      <c r="B256" t="s">
        <v>32</v>
      </c>
      <c r="C256" t="s">
        <v>420</v>
      </c>
      <c r="D256" t="s">
        <v>31</v>
      </c>
      <c r="E256" s="1">
        <v>43729</v>
      </c>
      <c r="F256" s="2">
        <f ca="1">DATEDIF(EmpTable[[#This Row],[Start Date]],TODAY(),"Y")</f>
        <v>6</v>
      </c>
      <c r="G256" t="s">
        <v>75</v>
      </c>
      <c r="H256" t="s">
        <v>21</v>
      </c>
      <c r="I256" t="s">
        <v>41</v>
      </c>
      <c r="J256">
        <v>3109</v>
      </c>
      <c r="K256">
        <v>37308</v>
      </c>
      <c r="L256">
        <v>3</v>
      </c>
      <c r="M256">
        <v>1</v>
      </c>
      <c r="N256">
        <v>0</v>
      </c>
      <c r="O256">
        <v>9</v>
      </c>
    </row>
    <row r="257" spans="1:15" x14ac:dyDescent="0.3">
      <c r="A257">
        <v>256</v>
      </c>
      <c r="B257" t="s">
        <v>374</v>
      </c>
      <c r="C257" t="s">
        <v>300</v>
      </c>
      <c r="D257" t="s">
        <v>306</v>
      </c>
      <c r="E257" s="1">
        <v>43982</v>
      </c>
      <c r="F257" s="2">
        <f ca="1">DATEDIF(EmpTable[[#This Row],[Start Date]],TODAY(),"Y")</f>
        <v>5</v>
      </c>
      <c r="G257" t="s">
        <v>27</v>
      </c>
      <c r="H257" t="s">
        <v>17</v>
      </c>
      <c r="I257" t="s">
        <v>41</v>
      </c>
      <c r="J257">
        <v>2832</v>
      </c>
      <c r="K257">
        <v>33984</v>
      </c>
      <c r="L257">
        <v>5</v>
      </c>
      <c r="M257">
        <v>1</v>
      </c>
      <c r="N257">
        <v>0</v>
      </c>
      <c r="O257">
        <v>5</v>
      </c>
    </row>
    <row r="258" spans="1:15" x14ac:dyDescent="0.3">
      <c r="A258">
        <v>257</v>
      </c>
      <c r="B258" t="s">
        <v>421</v>
      </c>
      <c r="C258" t="s">
        <v>422</v>
      </c>
      <c r="D258" t="s">
        <v>31</v>
      </c>
      <c r="E258" s="1">
        <v>43466</v>
      </c>
      <c r="F258" s="2">
        <f ca="1">DATEDIF(EmpTable[[#This Row],[Start Date]],TODAY(),"Y")</f>
        <v>7</v>
      </c>
      <c r="G258" t="s">
        <v>27</v>
      </c>
      <c r="H258" t="s">
        <v>17</v>
      </c>
      <c r="I258" t="s">
        <v>41</v>
      </c>
      <c r="J258">
        <v>2940</v>
      </c>
      <c r="K258">
        <v>35280</v>
      </c>
      <c r="L258">
        <v>1</v>
      </c>
      <c r="M258">
        <v>6</v>
      </c>
      <c r="N258">
        <v>4</v>
      </c>
      <c r="O258">
        <v>7</v>
      </c>
    </row>
    <row r="259" spans="1:15" x14ac:dyDescent="0.3">
      <c r="A259">
        <v>258</v>
      </c>
      <c r="B259" t="s">
        <v>29</v>
      </c>
      <c r="C259" t="s">
        <v>423</v>
      </c>
      <c r="D259" t="s">
        <v>31</v>
      </c>
      <c r="E259" s="1">
        <v>43560</v>
      </c>
      <c r="F259" s="2">
        <f ca="1">DATEDIF(EmpTable[[#This Row],[Start Date]],TODAY(),"Y")</f>
        <v>6</v>
      </c>
      <c r="G259" t="s">
        <v>34</v>
      </c>
      <c r="H259" t="s">
        <v>47</v>
      </c>
      <c r="I259" t="s">
        <v>35</v>
      </c>
      <c r="J259">
        <v>983</v>
      </c>
      <c r="K259">
        <v>11796</v>
      </c>
      <c r="L259">
        <v>5</v>
      </c>
      <c r="M259">
        <v>0</v>
      </c>
      <c r="N259">
        <v>0</v>
      </c>
      <c r="O259">
        <v>13</v>
      </c>
    </row>
    <row r="260" spans="1:15" x14ac:dyDescent="0.3">
      <c r="A260">
        <v>259</v>
      </c>
      <c r="B260" t="s">
        <v>169</v>
      </c>
      <c r="C260" t="s">
        <v>424</v>
      </c>
      <c r="D260" t="s">
        <v>31</v>
      </c>
      <c r="E260" s="1">
        <v>43941</v>
      </c>
      <c r="F260" s="2">
        <f ca="1">DATEDIF(EmpTable[[#This Row],[Start Date]],TODAY(),"Y")</f>
        <v>5</v>
      </c>
      <c r="G260" t="s">
        <v>49</v>
      </c>
      <c r="H260" t="s">
        <v>17</v>
      </c>
      <c r="I260" t="s">
        <v>35</v>
      </c>
      <c r="J260">
        <v>1223</v>
      </c>
      <c r="K260">
        <v>14676</v>
      </c>
      <c r="L260">
        <v>1</v>
      </c>
      <c r="M260">
        <v>6</v>
      </c>
      <c r="N260">
        <v>0</v>
      </c>
      <c r="O260">
        <v>10</v>
      </c>
    </row>
    <row r="261" spans="1:15" x14ac:dyDescent="0.3">
      <c r="A261">
        <v>260</v>
      </c>
      <c r="B261" t="s">
        <v>425</v>
      </c>
      <c r="C261" t="s">
        <v>426</v>
      </c>
      <c r="D261" t="s">
        <v>306</v>
      </c>
      <c r="E261" s="1">
        <v>44025</v>
      </c>
      <c r="F261" s="2">
        <f ca="1">DATEDIF(EmpTable[[#This Row],[Start Date]],TODAY(),"Y")</f>
        <v>5</v>
      </c>
      <c r="G261" t="s">
        <v>143</v>
      </c>
      <c r="H261" t="s">
        <v>17</v>
      </c>
      <c r="I261" t="s">
        <v>35</v>
      </c>
      <c r="J261">
        <v>833</v>
      </c>
      <c r="K261">
        <v>9996</v>
      </c>
      <c r="L261">
        <v>1</v>
      </c>
      <c r="M261">
        <v>1</v>
      </c>
      <c r="N261">
        <v>0</v>
      </c>
      <c r="O261">
        <v>5</v>
      </c>
    </row>
    <row r="262" spans="1:15" x14ac:dyDescent="0.3">
      <c r="A262">
        <v>261</v>
      </c>
      <c r="B262" t="s">
        <v>427</v>
      </c>
      <c r="C262" t="s">
        <v>428</v>
      </c>
      <c r="D262" t="s">
        <v>306</v>
      </c>
      <c r="E262" s="1">
        <v>43230</v>
      </c>
      <c r="F262" s="2">
        <f ca="1">DATEDIF(EmpTable[[#This Row],[Start Date]],TODAY(),"Y")</f>
        <v>7</v>
      </c>
      <c r="G262" t="s">
        <v>16</v>
      </c>
      <c r="H262" t="s">
        <v>17</v>
      </c>
      <c r="I262" t="s">
        <v>18</v>
      </c>
      <c r="J262">
        <v>2074</v>
      </c>
      <c r="K262">
        <v>24888</v>
      </c>
      <c r="L262">
        <v>3</v>
      </c>
      <c r="M262">
        <v>1</v>
      </c>
      <c r="N262">
        <v>0</v>
      </c>
      <c r="O262">
        <v>2</v>
      </c>
    </row>
    <row r="263" spans="1:15" x14ac:dyDescent="0.3">
      <c r="A263">
        <v>262</v>
      </c>
      <c r="B263" t="s">
        <v>429</v>
      </c>
      <c r="C263" t="s">
        <v>430</v>
      </c>
      <c r="D263" t="s">
        <v>31</v>
      </c>
      <c r="E263" s="1">
        <v>43171</v>
      </c>
      <c r="F263" s="2">
        <f ca="1">DATEDIF(EmpTable[[#This Row],[Start Date]],TODAY(),"Y")</f>
        <v>7</v>
      </c>
      <c r="G263" t="s">
        <v>16</v>
      </c>
      <c r="H263" t="s">
        <v>28</v>
      </c>
      <c r="I263" t="s">
        <v>59</v>
      </c>
      <c r="J263">
        <v>2811</v>
      </c>
      <c r="K263">
        <v>33732</v>
      </c>
      <c r="L263">
        <v>3</v>
      </c>
      <c r="M263">
        <v>0</v>
      </c>
      <c r="N263">
        <v>1</v>
      </c>
      <c r="O263">
        <v>9</v>
      </c>
    </row>
    <row r="264" spans="1:15" x14ac:dyDescent="0.3">
      <c r="A264">
        <v>263</v>
      </c>
      <c r="B264" t="s">
        <v>32</v>
      </c>
      <c r="C264" t="s">
        <v>431</v>
      </c>
      <c r="D264" t="s">
        <v>31</v>
      </c>
      <c r="E264" s="1">
        <v>43731</v>
      </c>
      <c r="F264" s="2">
        <f ca="1">DATEDIF(EmpTable[[#This Row],[Start Date]],TODAY(),"Y")</f>
        <v>6</v>
      </c>
      <c r="G264" t="s">
        <v>16</v>
      </c>
      <c r="H264" t="s">
        <v>21</v>
      </c>
      <c r="I264" t="s">
        <v>35</v>
      </c>
      <c r="J264">
        <v>1436</v>
      </c>
      <c r="K264">
        <v>17232</v>
      </c>
      <c r="L264">
        <v>4.5</v>
      </c>
      <c r="M264">
        <v>3</v>
      </c>
      <c r="N264">
        <v>4</v>
      </c>
      <c r="O264">
        <v>4</v>
      </c>
    </row>
    <row r="265" spans="1:15" x14ac:dyDescent="0.3">
      <c r="A265">
        <v>264</v>
      </c>
      <c r="B265" t="s">
        <v>432</v>
      </c>
      <c r="C265" t="s">
        <v>433</v>
      </c>
      <c r="D265" t="s">
        <v>306</v>
      </c>
      <c r="E265" s="1">
        <v>43647</v>
      </c>
      <c r="F265" s="2">
        <f ca="1">DATEDIF(EmpTable[[#This Row],[Start Date]],TODAY(),"Y")</f>
        <v>6</v>
      </c>
      <c r="G265" t="s">
        <v>27</v>
      </c>
      <c r="H265" t="s">
        <v>17</v>
      </c>
      <c r="I265" t="s">
        <v>35</v>
      </c>
      <c r="J265">
        <v>1041</v>
      </c>
      <c r="K265">
        <v>12492</v>
      </c>
      <c r="L265">
        <v>2</v>
      </c>
      <c r="M265">
        <v>2</v>
      </c>
      <c r="N265">
        <v>0</v>
      </c>
      <c r="O265">
        <v>5</v>
      </c>
    </row>
    <row r="266" spans="1:15" x14ac:dyDescent="0.3">
      <c r="A266">
        <v>265</v>
      </c>
      <c r="B266" t="s">
        <v>434</v>
      </c>
      <c r="C266" t="s">
        <v>435</v>
      </c>
      <c r="D266" t="s">
        <v>306</v>
      </c>
      <c r="E266" s="1">
        <v>43266</v>
      </c>
      <c r="F266" s="2">
        <f ca="1">DATEDIF(EmpTable[[#This Row],[Start Date]],TODAY(),"Y")</f>
        <v>7</v>
      </c>
      <c r="G266" t="s">
        <v>16</v>
      </c>
      <c r="H266" t="s">
        <v>17</v>
      </c>
      <c r="I266" t="s">
        <v>41</v>
      </c>
      <c r="J266">
        <v>2231</v>
      </c>
      <c r="K266">
        <v>26772</v>
      </c>
      <c r="L266">
        <v>3</v>
      </c>
      <c r="M266">
        <v>0</v>
      </c>
      <c r="N266">
        <v>0</v>
      </c>
      <c r="O266">
        <v>87</v>
      </c>
    </row>
    <row r="267" spans="1:15" x14ac:dyDescent="0.3">
      <c r="A267">
        <v>266</v>
      </c>
      <c r="B267" t="s">
        <v>436</v>
      </c>
      <c r="C267" t="s">
        <v>437</v>
      </c>
      <c r="D267" t="s">
        <v>31</v>
      </c>
      <c r="E267" s="1">
        <v>43512</v>
      </c>
      <c r="F267" s="2">
        <f ca="1">DATEDIF(EmpTable[[#This Row],[Start Date]],TODAY(),"Y")</f>
        <v>7</v>
      </c>
      <c r="G267" t="s">
        <v>57</v>
      </c>
      <c r="H267" t="s">
        <v>28</v>
      </c>
      <c r="I267" t="s">
        <v>18</v>
      </c>
      <c r="J267">
        <v>1036</v>
      </c>
      <c r="K267">
        <v>12432</v>
      </c>
      <c r="L267">
        <v>3</v>
      </c>
      <c r="M267">
        <v>0</v>
      </c>
      <c r="N267">
        <v>0</v>
      </c>
      <c r="O267">
        <v>1</v>
      </c>
    </row>
    <row r="268" spans="1:15" x14ac:dyDescent="0.3">
      <c r="A268">
        <v>267</v>
      </c>
      <c r="B268" t="s">
        <v>438</v>
      </c>
      <c r="C268" t="s">
        <v>439</v>
      </c>
      <c r="D268" t="s">
        <v>306</v>
      </c>
      <c r="E268" s="1">
        <v>44119</v>
      </c>
      <c r="F268" s="2">
        <f ca="1">DATEDIF(EmpTable[[#This Row],[Start Date]],TODAY(),"Y")</f>
        <v>5</v>
      </c>
      <c r="G268" t="s">
        <v>16</v>
      </c>
      <c r="H268" t="s">
        <v>17</v>
      </c>
      <c r="I268" t="s">
        <v>35</v>
      </c>
      <c r="J268">
        <v>2143</v>
      </c>
      <c r="K268">
        <v>25716</v>
      </c>
      <c r="L268">
        <v>5</v>
      </c>
      <c r="M268">
        <v>0</v>
      </c>
      <c r="N268">
        <v>0</v>
      </c>
      <c r="O268">
        <v>45</v>
      </c>
    </row>
    <row r="269" spans="1:15" x14ac:dyDescent="0.3">
      <c r="A269">
        <v>268</v>
      </c>
      <c r="B269" t="s">
        <v>36</v>
      </c>
      <c r="C269" t="s">
        <v>440</v>
      </c>
      <c r="D269" t="s">
        <v>306</v>
      </c>
      <c r="E269" s="1">
        <v>43837</v>
      </c>
      <c r="F269" s="2">
        <f ca="1">DATEDIF(EmpTable[[#This Row],[Start Date]],TODAY(),"Y")</f>
        <v>6</v>
      </c>
      <c r="G269" t="s">
        <v>76</v>
      </c>
      <c r="H269" t="s">
        <v>28</v>
      </c>
      <c r="I269" t="s">
        <v>59</v>
      </c>
      <c r="J269">
        <v>967</v>
      </c>
      <c r="K269">
        <v>11604</v>
      </c>
      <c r="L269">
        <v>5</v>
      </c>
      <c r="M269">
        <v>0</v>
      </c>
      <c r="N269">
        <v>4</v>
      </c>
      <c r="O269">
        <v>9</v>
      </c>
    </row>
    <row r="270" spans="1:15" x14ac:dyDescent="0.3">
      <c r="A270">
        <v>269</v>
      </c>
      <c r="B270" t="s">
        <v>245</v>
      </c>
      <c r="C270" t="s">
        <v>441</v>
      </c>
      <c r="D270" t="s">
        <v>31</v>
      </c>
      <c r="E270" s="1">
        <v>44028</v>
      </c>
      <c r="F270" s="2">
        <f ca="1">DATEDIF(EmpTable[[#This Row],[Start Date]],TODAY(),"Y")</f>
        <v>5</v>
      </c>
      <c r="G270" t="s">
        <v>34</v>
      </c>
      <c r="H270" t="s">
        <v>17</v>
      </c>
      <c r="I270" t="s">
        <v>59</v>
      </c>
      <c r="J270">
        <v>2510</v>
      </c>
      <c r="K270">
        <v>30120</v>
      </c>
      <c r="L270">
        <v>1</v>
      </c>
      <c r="M270">
        <v>0</v>
      </c>
      <c r="N270">
        <v>0</v>
      </c>
      <c r="O270">
        <v>3</v>
      </c>
    </row>
    <row r="271" spans="1:15" x14ac:dyDescent="0.3">
      <c r="A271">
        <v>270</v>
      </c>
      <c r="B271" t="s">
        <v>442</v>
      </c>
      <c r="C271" t="s">
        <v>443</v>
      </c>
      <c r="D271" t="s">
        <v>306</v>
      </c>
      <c r="E271" s="1">
        <v>43555</v>
      </c>
      <c r="F271" s="2">
        <f ca="1">DATEDIF(EmpTable[[#This Row],[Start Date]],TODAY(),"Y")</f>
        <v>6</v>
      </c>
      <c r="G271" t="s">
        <v>57</v>
      </c>
      <c r="H271" t="s">
        <v>17</v>
      </c>
      <c r="I271" t="s">
        <v>41</v>
      </c>
      <c r="J271">
        <v>3364</v>
      </c>
      <c r="K271">
        <v>40368</v>
      </c>
      <c r="L271">
        <v>2</v>
      </c>
      <c r="M271">
        <v>0</v>
      </c>
      <c r="N271">
        <v>0</v>
      </c>
      <c r="O271">
        <v>1</v>
      </c>
    </row>
    <row r="272" spans="1:15" x14ac:dyDescent="0.3">
      <c r="A272">
        <v>271</v>
      </c>
      <c r="B272" t="s">
        <v>88</v>
      </c>
      <c r="C272" t="s">
        <v>444</v>
      </c>
      <c r="D272" t="s">
        <v>306</v>
      </c>
      <c r="E272" s="1">
        <v>43471</v>
      </c>
      <c r="F272" s="2">
        <f ca="1">DATEDIF(EmpTable[[#This Row],[Start Date]],TODAY(),"Y")</f>
        <v>7</v>
      </c>
      <c r="G272" t="s">
        <v>76</v>
      </c>
      <c r="H272" t="s">
        <v>17</v>
      </c>
      <c r="I272" t="s">
        <v>18</v>
      </c>
      <c r="J272">
        <v>3420</v>
      </c>
      <c r="K272">
        <v>41040</v>
      </c>
      <c r="L272">
        <v>5</v>
      </c>
      <c r="M272">
        <v>6</v>
      </c>
      <c r="N272">
        <v>0</v>
      </c>
      <c r="O272">
        <v>10</v>
      </c>
    </row>
    <row r="273" spans="1:15" x14ac:dyDescent="0.3">
      <c r="A273">
        <v>272</v>
      </c>
      <c r="B273" t="s">
        <v>68</v>
      </c>
      <c r="C273" t="s">
        <v>445</v>
      </c>
      <c r="D273" t="s">
        <v>31</v>
      </c>
      <c r="E273" s="1">
        <v>43722</v>
      </c>
      <c r="F273" s="2">
        <f ca="1">DATEDIF(EmpTable[[#This Row],[Start Date]],TODAY(),"Y")</f>
        <v>6</v>
      </c>
      <c r="G273" t="s">
        <v>117</v>
      </c>
      <c r="H273" t="s">
        <v>28</v>
      </c>
      <c r="I273" t="s">
        <v>59</v>
      </c>
      <c r="J273">
        <v>2229</v>
      </c>
      <c r="K273">
        <v>26748</v>
      </c>
      <c r="L273">
        <v>3</v>
      </c>
      <c r="M273">
        <v>3</v>
      </c>
      <c r="N273">
        <v>0</v>
      </c>
      <c r="O273">
        <v>1</v>
      </c>
    </row>
    <row r="274" spans="1:15" x14ac:dyDescent="0.3">
      <c r="A274">
        <v>273</v>
      </c>
      <c r="B274" t="s">
        <v>301</v>
      </c>
      <c r="C274" t="s">
        <v>446</v>
      </c>
      <c r="D274" t="s">
        <v>31</v>
      </c>
      <c r="E274" s="1">
        <v>43978</v>
      </c>
      <c r="F274" s="2">
        <f ca="1">DATEDIF(EmpTable[[#This Row],[Start Date]],TODAY(),"Y")</f>
        <v>5</v>
      </c>
      <c r="G274" t="s">
        <v>117</v>
      </c>
      <c r="H274" t="s">
        <v>17</v>
      </c>
      <c r="I274" t="s">
        <v>18</v>
      </c>
      <c r="J274">
        <v>1910</v>
      </c>
      <c r="K274">
        <v>22920</v>
      </c>
      <c r="L274">
        <v>5</v>
      </c>
      <c r="M274">
        <v>2</v>
      </c>
      <c r="N274">
        <v>0</v>
      </c>
      <c r="O274">
        <v>5</v>
      </c>
    </row>
    <row r="275" spans="1:15" x14ac:dyDescent="0.3">
      <c r="A275">
        <v>274</v>
      </c>
      <c r="B275" t="s">
        <v>374</v>
      </c>
      <c r="C275" t="s">
        <v>215</v>
      </c>
      <c r="D275" t="s">
        <v>306</v>
      </c>
      <c r="E275" s="1">
        <v>43684</v>
      </c>
      <c r="F275" s="2">
        <f ca="1">DATEDIF(EmpTable[[#This Row],[Start Date]],TODAY(),"Y")</f>
        <v>6</v>
      </c>
      <c r="G275" t="s">
        <v>75</v>
      </c>
      <c r="H275" t="s">
        <v>17</v>
      </c>
      <c r="I275" t="s">
        <v>35</v>
      </c>
      <c r="J275">
        <v>1917</v>
      </c>
      <c r="K275">
        <v>23004</v>
      </c>
      <c r="L275">
        <v>4.5</v>
      </c>
      <c r="M275">
        <v>0</v>
      </c>
      <c r="N275">
        <v>1</v>
      </c>
      <c r="O275">
        <v>84</v>
      </c>
    </row>
    <row r="276" spans="1:15" x14ac:dyDescent="0.3">
      <c r="A276">
        <v>275</v>
      </c>
      <c r="B276" t="s">
        <v>368</v>
      </c>
      <c r="C276" t="s">
        <v>447</v>
      </c>
      <c r="D276" t="s">
        <v>31</v>
      </c>
      <c r="E276" s="1">
        <v>43454</v>
      </c>
      <c r="F276" s="2">
        <f ca="1">DATEDIF(EmpTable[[#This Row],[Start Date]],TODAY(),"Y")</f>
        <v>7</v>
      </c>
      <c r="G276" t="s">
        <v>16</v>
      </c>
      <c r="H276" t="s">
        <v>17</v>
      </c>
      <c r="I276" t="s">
        <v>35</v>
      </c>
      <c r="J276">
        <v>831</v>
      </c>
      <c r="K276">
        <v>9972</v>
      </c>
      <c r="L276">
        <v>1</v>
      </c>
      <c r="M276">
        <v>1</v>
      </c>
      <c r="N276">
        <v>2</v>
      </c>
      <c r="O276">
        <v>7</v>
      </c>
    </row>
    <row r="277" spans="1:15" x14ac:dyDescent="0.3">
      <c r="A277">
        <v>276</v>
      </c>
      <c r="B277" t="s">
        <v>32</v>
      </c>
      <c r="C277" t="s">
        <v>448</v>
      </c>
      <c r="D277" t="s">
        <v>31</v>
      </c>
      <c r="E277" s="1">
        <v>43652</v>
      </c>
      <c r="F277" s="2">
        <f ca="1">DATEDIF(EmpTable[[#This Row],[Start Date]],TODAY(),"Y")</f>
        <v>6</v>
      </c>
      <c r="G277" t="s">
        <v>16</v>
      </c>
      <c r="H277" t="s">
        <v>28</v>
      </c>
      <c r="I277" t="s">
        <v>41</v>
      </c>
      <c r="J277">
        <v>2636</v>
      </c>
      <c r="K277">
        <v>31632</v>
      </c>
      <c r="L277">
        <v>4.5</v>
      </c>
      <c r="M277">
        <v>0</v>
      </c>
      <c r="N277">
        <v>2</v>
      </c>
      <c r="O277">
        <v>4</v>
      </c>
    </row>
    <row r="278" spans="1:15" x14ac:dyDescent="0.3">
      <c r="A278">
        <v>277</v>
      </c>
      <c r="B278" t="s">
        <v>81</v>
      </c>
      <c r="C278" t="s">
        <v>449</v>
      </c>
      <c r="D278" t="s">
        <v>306</v>
      </c>
      <c r="E278" s="1">
        <v>43348</v>
      </c>
      <c r="F278" s="2">
        <f ca="1">DATEDIF(EmpTable[[#This Row],[Start Date]],TODAY(),"Y")</f>
        <v>7</v>
      </c>
      <c r="G278" t="s">
        <v>40</v>
      </c>
      <c r="H278" t="s">
        <v>47</v>
      </c>
      <c r="I278" t="s">
        <v>41</v>
      </c>
      <c r="J278">
        <v>2929</v>
      </c>
      <c r="K278">
        <v>35148</v>
      </c>
      <c r="L278">
        <v>2</v>
      </c>
      <c r="M278">
        <v>0</v>
      </c>
      <c r="N278">
        <v>1</v>
      </c>
      <c r="O278">
        <v>4</v>
      </c>
    </row>
    <row r="279" spans="1:15" x14ac:dyDescent="0.3">
      <c r="A279">
        <v>278</v>
      </c>
      <c r="B279" t="s">
        <v>194</v>
      </c>
      <c r="C279" t="s">
        <v>450</v>
      </c>
      <c r="D279" t="s">
        <v>31</v>
      </c>
      <c r="E279" s="1">
        <v>43764</v>
      </c>
      <c r="F279" s="2">
        <f ca="1">DATEDIF(EmpTable[[#This Row],[Start Date]],TODAY(),"Y")</f>
        <v>6</v>
      </c>
      <c r="G279" t="s">
        <v>16</v>
      </c>
      <c r="H279" t="s">
        <v>17</v>
      </c>
      <c r="I279" t="s">
        <v>35</v>
      </c>
      <c r="J279">
        <v>1255</v>
      </c>
      <c r="K279">
        <v>15060</v>
      </c>
      <c r="L279">
        <v>1</v>
      </c>
      <c r="M279">
        <v>6</v>
      </c>
      <c r="N279">
        <v>0</v>
      </c>
      <c r="O279">
        <v>15</v>
      </c>
    </row>
    <row r="280" spans="1:15" x14ac:dyDescent="0.3">
      <c r="A280">
        <v>279</v>
      </c>
      <c r="B280" t="s">
        <v>271</v>
      </c>
      <c r="C280" t="s">
        <v>451</v>
      </c>
      <c r="D280" t="s">
        <v>31</v>
      </c>
      <c r="E280" s="1">
        <v>43933</v>
      </c>
      <c r="F280" s="2">
        <f ca="1">DATEDIF(EmpTable[[#This Row],[Start Date]],TODAY(),"Y")</f>
        <v>5</v>
      </c>
      <c r="G280" t="s">
        <v>16</v>
      </c>
      <c r="H280" t="s">
        <v>28</v>
      </c>
      <c r="I280" t="s">
        <v>41</v>
      </c>
      <c r="J280">
        <v>2210</v>
      </c>
      <c r="K280">
        <v>26520</v>
      </c>
      <c r="L280">
        <v>3</v>
      </c>
      <c r="M280">
        <v>0</v>
      </c>
      <c r="N280">
        <v>0</v>
      </c>
      <c r="O280">
        <v>13</v>
      </c>
    </row>
    <row r="281" spans="1:15" x14ac:dyDescent="0.3">
      <c r="A281">
        <v>280</v>
      </c>
      <c r="B281" t="s">
        <v>452</v>
      </c>
      <c r="C281" t="s">
        <v>453</v>
      </c>
      <c r="D281" t="s">
        <v>306</v>
      </c>
      <c r="E281" s="1">
        <v>43753</v>
      </c>
      <c r="F281" s="2">
        <f ca="1">DATEDIF(EmpTable[[#This Row],[Start Date]],TODAY(),"Y")</f>
        <v>6</v>
      </c>
      <c r="G281" t="s">
        <v>16</v>
      </c>
      <c r="H281" t="s">
        <v>17</v>
      </c>
      <c r="I281" t="s">
        <v>35</v>
      </c>
      <c r="J281">
        <v>1788</v>
      </c>
      <c r="K281">
        <v>21456</v>
      </c>
      <c r="L281">
        <v>5</v>
      </c>
      <c r="M281">
        <v>1</v>
      </c>
      <c r="N281">
        <v>0</v>
      </c>
      <c r="O281">
        <v>9</v>
      </c>
    </row>
    <row r="282" spans="1:15" x14ac:dyDescent="0.3">
      <c r="A282">
        <v>281</v>
      </c>
      <c r="B282" t="s">
        <v>368</v>
      </c>
      <c r="C282" t="s">
        <v>454</v>
      </c>
      <c r="D282" t="s">
        <v>31</v>
      </c>
      <c r="E282" s="1">
        <v>43951</v>
      </c>
      <c r="F282" s="2">
        <f ca="1">DATEDIF(EmpTable[[#This Row],[Start Date]],TODAY(),"Y")</f>
        <v>5</v>
      </c>
      <c r="G282" t="s">
        <v>16</v>
      </c>
      <c r="H282" t="s">
        <v>17</v>
      </c>
      <c r="I282" t="s">
        <v>35</v>
      </c>
      <c r="J282">
        <v>2488</v>
      </c>
      <c r="K282">
        <v>29856</v>
      </c>
      <c r="L282">
        <v>5</v>
      </c>
      <c r="M282">
        <v>0</v>
      </c>
      <c r="N282">
        <v>5</v>
      </c>
      <c r="O282">
        <v>3</v>
      </c>
    </row>
    <row r="283" spans="1:15" x14ac:dyDescent="0.3">
      <c r="A283">
        <v>282</v>
      </c>
      <c r="B283" t="s">
        <v>32</v>
      </c>
      <c r="C283" t="s">
        <v>455</v>
      </c>
      <c r="D283" t="s">
        <v>31</v>
      </c>
      <c r="E283" s="1">
        <v>43939</v>
      </c>
      <c r="F283" s="2">
        <f ca="1">DATEDIF(EmpTable[[#This Row],[Start Date]],TODAY(),"Y")</f>
        <v>5</v>
      </c>
      <c r="G283" t="s">
        <v>27</v>
      </c>
      <c r="H283" t="s">
        <v>17</v>
      </c>
      <c r="I283" t="s">
        <v>35</v>
      </c>
      <c r="J283">
        <v>2187</v>
      </c>
      <c r="K283">
        <v>26244</v>
      </c>
      <c r="L283">
        <v>5</v>
      </c>
      <c r="M283">
        <v>1</v>
      </c>
      <c r="N283">
        <v>3</v>
      </c>
      <c r="O283">
        <v>2</v>
      </c>
    </row>
    <row r="284" spans="1:15" x14ac:dyDescent="0.3">
      <c r="A284">
        <v>283</v>
      </c>
      <c r="B284" t="s">
        <v>456</v>
      </c>
      <c r="C284" t="s">
        <v>457</v>
      </c>
      <c r="D284" t="s">
        <v>31</v>
      </c>
      <c r="E284" s="1">
        <v>43963</v>
      </c>
      <c r="F284" s="2">
        <f ca="1">DATEDIF(EmpTable[[#This Row],[Start Date]],TODAY(),"Y")</f>
        <v>5</v>
      </c>
      <c r="G284" t="s">
        <v>16</v>
      </c>
      <c r="H284" t="s">
        <v>17</v>
      </c>
      <c r="I284" t="s">
        <v>41</v>
      </c>
      <c r="J284">
        <v>1366</v>
      </c>
      <c r="K284">
        <v>16392</v>
      </c>
      <c r="L284">
        <v>2</v>
      </c>
      <c r="M284">
        <v>0</v>
      </c>
      <c r="N284">
        <v>0</v>
      </c>
      <c r="O284">
        <v>13</v>
      </c>
    </row>
    <row r="285" spans="1:15" x14ac:dyDescent="0.3">
      <c r="A285">
        <v>284</v>
      </c>
      <c r="B285" t="s">
        <v>196</v>
      </c>
      <c r="C285" t="s">
        <v>458</v>
      </c>
      <c r="D285" t="s">
        <v>31</v>
      </c>
      <c r="E285" s="1">
        <v>43591</v>
      </c>
      <c r="F285" s="2">
        <f ca="1">DATEDIF(EmpTable[[#This Row],[Start Date]],TODAY(),"Y")</f>
        <v>6</v>
      </c>
      <c r="G285" t="s">
        <v>76</v>
      </c>
      <c r="H285" t="s">
        <v>17</v>
      </c>
      <c r="I285" t="s">
        <v>18</v>
      </c>
      <c r="J285">
        <v>2612</v>
      </c>
      <c r="K285">
        <v>31344</v>
      </c>
      <c r="L285">
        <v>5</v>
      </c>
      <c r="M285">
        <v>0</v>
      </c>
      <c r="N285">
        <v>0</v>
      </c>
      <c r="O285">
        <v>8</v>
      </c>
    </row>
    <row r="286" spans="1:15" x14ac:dyDescent="0.3">
      <c r="A286">
        <v>285</v>
      </c>
      <c r="B286" t="s">
        <v>459</v>
      </c>
      <c r="C286" t="s">
        <v>460</v>
      </c>
      <c r="D286" t="s">
        <v>31</v>
      </c>
      <c r="E286" s="1">
        <v>43199</v>
      </c>
      <c r="F286" s="2">
        <f ca="1">DATEDIF(EmpTable[[#This Row],[Start Date]],TODAY(),"Y")</f>
        <v>7</v>
      </c>
      <c r="G286" t="s">
        <v>40</v>
      </c>
      <c r="H286" t="s">
        <v>28</v>
      </c>
      <c r="I286" t="s">
        <v>41</v>
      </c>
      <c r="J286">
        <v>2246</v>
      </c>
      <c r="K286">
        <v>26952</v>
      </c>
      <c r="L286">
        <v>5</v>
      </c>
      <c r="M286">
        <v>0</v>
      </c>
      <c r="N286">
        <v>0</v>
      </c>
      <c r="O286">
        <v>8</v>
      </c>
    </row>
    <row r="287" spans="1:15" x14ac:dyDescent="0.3">
      <c r="A287">
        <v>286</v>
      </c>
      <c r="B287" t="s">
        <v>32</v>
      </c>
      <c r="C287" t="s">
        <v>461</v>
      </c>
      <c r="D287" t="s">
        <v>31</v>
      </c>
      <c r="E287" s="1">
        <v>43307</v>
      </c>
      <c r="F287" s="2">
        <f ca="1">DATEDIF(EmpTable[[#This Row],[Start Date]],TODAY(),"Y")</f>
        <v>7</v>
      </c>
      <c r="G287" t="s">
        <v>16</v>
      </c>
      <c r="H287" t="s">
        <v>17</v>
      </c>
      <c r="I287" t="s">
        <v>41</v>
      </c>
      <c r="J287">
        <v>2761</v>
      </c>
      <c r="K287">
        <v>33132</v>
      </c>
      <c r="L287">
        <v>5</v>
      </c>
      <c r="M287">
        <v>0</v>
      </c>
      <c r="N287">
        <v>2</v>
      </c>
      <c r="O287">
        <v>5</v>
      </c>
    </row>
    <row r="288" spans="1:15" x14ac:dyDescent="0.3">
      <c r="A288">
        <v>287</v>
      </c>
      <c r="B288" t="s">
        <v>462</v>
      </c>
      <c r="C288" t="s">
        <v>463</v>
      </c>
      <c r="D288" t="s">
        <v>306</v>
      </c>
      <c r="E288" s="1">
        <v>43800</v>
      </c>
      <c r="F288" s="2">
        <f ca="1">DATEDIF(EmpTable[[#This Row],[Start Date]],TODAY(),"Y")</f>
        <v>6</v>
      </c>
      <c r="G288" t="s">
        <v>117</v>
      </c>
      <c r="H288" t="s">
        <v>17</v>
      </c>
      <c r="I288" t="s">
        <v>41</v>
      </c>
      <c r="J288">
        <v>1536</v>
      </c>
      <c r="K288">
        <v>18432</v>
      </c>
      <c r="L288">
        <v>4.5</v>
      </c>
      <c r="M288">
        <v>0</v>
      </c>
      <c r="N288">
        <v>0</v>
      </c>
      <c r="O288">
        <v>76</v>
      </c>
    </row>
    <row r="289" spans="1:15" x14ac:dyDescent="0.3">
      <c r="A289">
        <v>288</v>
      </c>
      <c r="B289" t="s">
        <v>32</v>
      </c>
      <c r="C289" t="s">
        <v>464</v>
      </c>
      <c r="D289" t="s">
        <v>31</v>
      </c>
      <c r="E289" s="1">
        <v>42684</v>
      </c>
      <c r="F289" s="2">
        <f ca="1">DATEDIF(EmpTable[[#This Row],[Start Date]],TODAY(),"Y")</f>
        <v>9</v>
      </c>
      <c r="G289" t="s">
        <v>87</v>
      </c>
      <c r="H289" t="s">
        <v>21</v>
      </c>
      <c r="I289" t="s">
        <v>59</v>
      </c>
      <c r="J289">
        <v>2180</v>
      </c>
      <c r="K289">
        <v>26160</v>
      </c>
      <c r="L289">
        <v>4.5</v>
      </c>
      <c r="M289">
        <v>0</v>
      </c>
      <c r="N289">
        <v>0</v>
      </c>
      <c r="O289">
        <v>80</v>
      </c>
    </row>
    <row r="290" spans="1:15" x14ac:dyDescent="0.3">
      <c r="A290">
        <v>289</v>
      </c>
      <c r="B290" t="s">
        <v>465</v>
      </c>
      <c r="C290" t="s">
        <v>460</v>
      </c>
      <c r="D290" t="s">
        <v>306</v>
      </c>
      <c r="E290" s="1">
        <v>43822</v>
      </c>
      <c r="F290" s="2">
        <f ca="1">DATEDIF(EmpTable[[#This Row],[Start Date]],TODAY(),"Y")</f>
        <v>6</v>
      </c>
      <c r="G290" t="s">
        <v>40</v>
      </c>
      <c r="H290" t="s">
        <v>17</v>
      </c>
      <c r="I290" t="s">
        <v>41</v>
      </c>
      <c r="J290">
        <v>3412</v>
      </c>
      <c r="K290">
        <v>40944</v>
      </c>
      <c r="L290">
        <v>5</v>
      </c>
      <c r="M290">
        <v>2</v>
      </c>
      <c r="N290">
        <v>0</v>
      </c>
      <c r="O290">
        <v>3</v>
      </c>
    </row>
    <row r="291" spans="1:15" x14ac:dyDescent="0.3">
      <c r="A291">
        <v>290</v>
      </c>
      <c r="B291" t="s">
        <v>32</v>
      </c>
      <c r="C291" t="s">
        <v>466</v>
      </c>
      <c r="D291" t="s">
        <v>31</v>
      </c>
      <c r="E291" s="1">
        <v>43250</v>
      </c>
      <c r="F291" s="2">
        <f ca="1">DATEDIF(EmpTable[[#This Row],[Start Date]],TODAY(),"Y")</f>
        <v>7</v>
      </c>
      <c r="G291" t="s">
        <v>52</v>
      </c>
      <c r="H291" t="s">
        <v>17</v>
      </c>
      <c r="I291" t="s">
        <v>41</v>
      </c>
      <c r="J291">
        <v>2546</v>
      </c>
      <c r="K291">
        <v>30552</v>
      </c>
      <c r="L291">
        <v>4.5</v>
      </c>
      <c r="M291">
        <v>0</v>
      </c>
      <c r="N291">
        <v>0</v>
      </c>
      <c r="O291">
        <v>6</v>
      </c>
    </row>
    <row r="292" spans="1:15" x14ac:dyDescent="0.3">
      <c r="A292">
        <v>291</v>
      </c>
      <c r="B292" t="s">
        <v>32</v>
      </c>
      <c r="C292" t="s">
        <v>467</v>
      </c>
      <c r="D292" t="s">
        <v>31</v>
      </c>
      <c r="E292" s="1">
        <v>43096</v>
      </c>
      <c r="F292" s="2">
        <f ca="1">DATEDIF(EmpTable[[#This Row],[Start Date]],TODAY(),"Y")</f>
        <v>8</v>
      </c>
      <c r="G292" t="s">
        <v>143</v>
      </c>
      <c r="H292" t="s">
        <v>17</v>
      </c>
      <c r="I292" t="s">
        <v>35</v>
      </c>
      <c r="J292">
        <v>1856</v>
      </c>
      <c r="K292">
        <v>22272</v>
      </c>
      <c r="L292">
        <v>5</v>
      </c>
      <c r="M292">
        <v>0</v>
      </c>
      <c r="N292">
        <v>0</v>
      </c>
      <c r="O292">
        <v>0</v>
      </c>
    </row>
    <row r="293" spans="1:15" x14ac:dyDescent="0.3">
      <c r="A293">
        <v>292</v>
      </c>
      <c r="B293" t="s">
        <v>196</v>
      </c>
      <c r="C293" t="s">
        <v>468</v>
      </c>
      <c r="D293" t="s">
        <v>31</v>
      </c>
      <c r="E293" s="1">
        <v>43618</v>
      </c>
      <c r="F293" s="2">
        <f ca="1">DATEDIF(EmpTable[[#This Row],[Start Date]],TODAY(),"Y")</f>
        <v>6</v>
      </c>
      <c r="G293" t="s">
        <v>34</v>
      </c>
      <c r="H293" t="s">
        <v>17</v>
      </c>
      <c r="I293" t="s">
        <v>41</v>
      </c>
      <c r="J293">
        <v>3220</v>
      </c>
      <c r="K293">
        <v>38640</v>
      </c>
      <c r="L293">
        <v>5</v>
      </c>
      <c r="M293">
        <v>6</v>
      </c>
      <c r="N293">
        <v>0</v>
      </c>
      <c r="O293">
        <v>3</v>
      </c>
    </row>
    <row r="294" spans="1:15" x14ac:dyDescent="0.3">
      <c r="A294">
        <v>293</v>
      </c>
      <c r="B294" t="s">
        <v>58</v>
      </c>
      <c r="C294" t="s">
        <v>469</v>
      </c>
      <c r="D294" t="s">
        <v>31</v>
      </c>
      <c r="E294" s="1">
        <v>42473</v>
      </c>
      <c r="F294" s="2">
        <f ca="1">DATEDIF(EmpTable[[#This Row],[Start Date]],TODAY(),"Y")</f>
        <v>9</v>
      </c>
      <c r="G294" t="s">
        <v>27</v>
      </c>
      <c r="H294" t="s">
        <v>21</v>
      </c>
      <c r="I294" t="s">
        <v>41</v>
      </c>
      <c r="J294">
        <v>3061</v>
      </c>
      <c r="K294">
        <v>36732</v>
      </c>
      <c r="L294">
        <v>5</v>
      </c>
      <c r="M294">
        <v>0</v>
      </c>
      <c r="N294">
        <v>0</v>
      </c>
      <c r="O294">
        <v>3</v>
      </c>
    </row>
    <row r="295" spans="1:15" x14ac:dyDescent="0.3">
      <c r="A295">
        <v>294</v>
      </c>
      <c r="B295" t="s">
        <v>262</v>
      </c>
      <c r="C295" t="s">
        <v>340</v>
      </c>
      <c r="D295" t="s">
        <v>31</v>
      </c>
      <c r="E295" s="1">
        <v>42973</v>
      </c>
      <c r="F295" s="2">
        <f ca="1">DATEDIF(EmpTable[[#This Row],[Start Date]],TODAY(),"Y")</f>
        <v>8</v>
      </c>
      <c r="G295" t="s">
        <v>75</v>
      </c>
      <c r="H295" t="s">
        <v>21</v>
      </c>
      <c r="I295" t="s">
        <v>35</v>
      </c>
      <c r="J295">
        <v>2221</v>
      </c>
      <c r="K295">
        <v>26652</v>
      </c>
      <c r="L295">
        <v>2</v>
      </c>
      <c r="M295">
        <v>0</v>
      </c>
      <c r="N295">
        <v>0</v>
      </c>
      <c r="O295">
        <v>1</v>
      </c>
    </row>
    <row r="296" spans="1:15" x14ac:dyDescent="0.3">
      <c r="A296">
        <v>295</v>
      </c>
      <c r="B296" t="s">
        <v>470</v>
      </c>
      <c r="C296" t="s">
        <v>29</v>
      </c>
      <c r="D296" t="s">
        <v>306</v>
      </c>
      <c r="E296" s="1">
        <v>42852</v>
      </c>
      <c r="F296" s="2">
        <f ca="1">DATEDIF(EmpTable[[#This Row],[Start Date]],TODAY(),"Y")</f>
        <v>8</v>
      </c>
      <c r="G296" t="s">
        <v>16</v>
      </c>
      <c r="H296" t="s">
        <v>21</v>
      </c>
      <c r="I296" t="s">
        <v>59</v>
      </c>
      <c r="J296">
        <v>1799</v>
      </c>
      <c r="K296">
        <v>21588</v>
      </c>
      <c r="L296">
        <v>4.5</v>
      </c>
      <c r="M296">
        <v>2</v>
      </c>
      <c r="N296">
        <v>0</v>
      </c>
      <c r="O296">
        <v>6</v>
      </c>
    </row>
    <row r="297" spans="1:15" x14ac:dyDescent="0.3">
      <c r="A297">
        <v>296</v>
      </c>
      <c r="B297" t="s">
        <v>368</v>
      </c>
      <c r="C297" t="s">
        <v>471</v>
      </c>
      <c r="D297" t="s">
        <v>31</v>
      </c>
      <c r="E297" s="1">
        <v>42879</v>
      </c>
      <c r="F297" s="2">
        <f ca="1">DATEDIF(EmpTable[[#This Row],[Start Date]],TODAY(),"Y")</f>
        <v>8</v>
      </c>
      <c r="G297" t="s">
        <v>40</v>
      </c>
      <c r="H297" t="s">
        <v>17</v>
      </c>
      <c r="I297" t="s">
        <v>59</v>
      </c>
      <c r="J297">
        <v>2082</v>
      </c>
      <c r="K297">
        <v>24984</v>
      </c>
      <c r="L297">
        <v>3</v>
      </c>
      <c r="M297">
        <v>0</v>
      </c>
      <c r="N297">
        <v>0</v>
      </c>
      <c r="O297">
        <v>1</v>
      </c>
    </row>
    <row r="298" spans="1:15" x14ac:dyDescent="0.3">
      <c r="A298">
        <v>297</v>
      </c>
      <c r="B298" t="s">
        <v>289</v>
      </c>
      <c r="C298" t="s">
        <v>118</v>
      </c>
      <c r="D298" t="s">
        <v>31</v>
      </c>
      <c r="E298" s="1">
        <v>42605</v>
      </c>
      <c r="F298" s="2">
        <f ca="1">DATEDIF(EmpTable[[#This Row],[Start Date]],TODAY(),"Y")</f>
        <v>9</v>
      </c>
      <c r="G298" t="s">
        <v>117</v>
      </c>
      <c r="H298" t="s">
        <v>28</v>
      </c>
      <c r="I298" t="s">
        <v>35</v>
      </c>
      <c r="J298">
        <v>1490</v>
      </c>
      <c r="K298">
        <v>17880</v>
      </c>
      <c r="L298">
        <v>4.5</v>
      </c>
      <c r="M298">
        <v>0</v>
      </c>
      <c r="N298">
        <v>2</v>
      </c>
      <c r="O298">
        <v>6</v>
      </c>
    </row>
    <row r="299" spans="1:15" x14ac:dyDescent="0.3">
      <c r="A299">
        <v>298</v>
      </c>
      <c r="B299" t="s">
        <v>299</v>
      </c>
      <c r="C299" t="s">
        <v>472</v>
      </c>
      <c r="D299" t="s">
        <v>306</v>
      </c>
      <c r="E299" s="1">
        <v>43905</v>
      </c>
      <c r="F299" s="2">
        <f ca="1">DATEDIF(EmpTable[[#This Row],[Start Date]],TODAY(),"Y")</f>
        <v>5</v>
      </c>
      <c r="G299" t="s">
        <v>40</v>
      </c>
      <c r="H299" t="s">
        <v>28</v>
      </c>
      <c r="I299" t="s">
        <v>35</v>
      </c>
      <c r="J299">
        <v>2042</v>
      </c>
      <c r="K299">
        <v>24504</v>
      </c>
      <c r="L299">
        <v>4.5</v>
      </c>
      <c r="M299">
        <v>0</v>
      </c>
      <c r="N299">
        <v>0</v>
      </c>
      <c r="O299">
        <v>10</v>
      </c>
    </row>
    <row r="300" spans="1:15" x14ac:dyDescent="0.3">
      <c r="A300">
        <v>299</v>
      </c>
      <c r="B300" t="s">
        <v>115</v>
      </c>
      <c r="C300" t="s">
        <v>473</v>
      </c>
      <c r="D300" t="s">
        <v>31</v>
      </c>
      <c r="E300" s="1">
        <v>42492</v>
      </c>
      <c r="F300" s="2">
        <f ca="1">DATEDIF(EmpTable[[#This Row],[Start Date]],TODAY(),"Y")</f>
        <v>9</v>
      </c>
      <c r="G300" t="s">
        <v>57</v>
      </c>
      <c r="H300" t="s">
        <v>47</v>
      </c>
      <c r="I300" t="s">
        <v>41</v>
      </c>
      <c r="J300">
        <v>985</v>
      </c>
      <c r="K300">
        <v>11820</v>
      </c>
      <c r="L300">
        <v>5</v>
      </c>
      <c r="M300">
        <v>1</v>
      </c>
      <c r="N300">
        <v>0</v>
      </c>
      <c r="O300">
        <v>5</v>
      </c>
    </row>
    <row r="301" spans="1:15" x14ac:dyDescent="0.3">
      <c r="A301">
        <v>300</v>
      </c>
      <c r="B301" t="s">
        <v>98</v>
      </c>
      <c r="C301" t="s">
        <v>474</v>
      </c>
      <c r="D301" t="s">
        <v>306</v>
      </c>
      <c r="E301" s="1">
        <v>42860</v>
      </c>
      <c r="F301" s="2">
        <f ca="1">DATEDIF(EmpTable[[#This Row],[Start Date]],TODAY(),"Y")</f>
        <v>8</v>
      </c>
      <c r="G301" t="s">
        <v>38</v>
      </c>
      <c r="H301" t="s">
        <v>17</v>
      </c>
      <c r="I301" t="s">
        <v>35</v>
      </c>
      <c r="J301">
        <v>1988</v>
      </c>
      <c r="K301">
        <v>23856</v>
      </c>
      <c r="L301">
        <v>3</v>
      </c>
      <c r="M301">
        <v>0</v>
      </c>
      <c r="N301">
        <v>0</v>
      </c>
      <c r="O301">
        <v>7</v>
      </c>
    </row>
    <row r="302" spans="1:15" x14ac:dyDescent="0.3">
      <c r="A302">
        <v>301</v>
      </c>
      <c r="B302" t="s">
        <v>36</v>
      </c>
      <c r="C302" t="s">
        <v>475</v>
      </c>
      <c r="D302" t="s">
        <v>306</v>
      </c>
      <c r="E302" s="1">
        <v>43286</v>
      </c>
      <c r="F302" s="2">
        <f ca="1">DATEDIF(EmpTable[[#This Row],[Start Date]],TODAY(),"Y")</f>
        <v>7</v>
      </c>
      <c r="G302" t="s">
        <v>40</v>
      </c>
      <c r="H302" t="s">
        <v>21</v>
      </c>
      <c r="I302" t="s">
        <v>59</v>
      </c>
      <c r="J302">
        <v>1545</v>
      </c>
      <c r="K302">
        <v>18540</v>
      </c>
      <c r="L302">
        <v>5</v>
      </c>
      <c r="M302">
        <v>1</v>
      </c>
      <c r="N302">
        <v>0</v>
      </c>
      <c r="O302">
        <v>1</v>
      </c>
    </row>
    <row r="303" spans="1:15" x14ac:dyDescent="0.3">
      <c r="A303">
        <v>302</v>
      </c>
      <c r="B303" t="s">
        <v>476</v>
      </c>
      <c r="C303" t="s">
        <v>477</v>
      </c>
      <c r="D303" t="s">
        <v>31</v>
      </c>
      <c r="E303" s="1">
        <v>44016</v>
      </c>
      <c r="F303" s="2">
        <f ca="1">DATEDIF(EmpTable[[#This Row],[Start Date]],TODAY(),"Y")</f>
        <v>5</v>
      </c>
      <c r="G303" t="s">
        <v>75</v>
      </c>
      <c r="H303" t="s">
        <v>17</v>
      </c>
      <c r="I303" t="s">
        <v>41</v>
      </c>
      <c r="J303">
        <v>2637</v>
      </c>
      <c r="K303">
        <v>31644</v>
      </c>
      <c r="L303">
        <v>5</v>
      </c>
      <c r="M303">
        <v>0</v>
      </c>
      <c r="N303">
        <v>0</v>
      </c>
      <c r="O303">
        <v>50</v>
      </c>
    </row>
    <row r="304" spans="1:15" x14ac:dyDescent="0.3">
      <c r="A304">
        <v>303</v>
      </c>
      <c r="B304" t="s">
        <v>32</v>
      </c>
      <c r="C304" t="s">
        <v>478</v>
      </c>
      <c r="D304" t="s">
        <v>31</v>
      </c>
      <c r="E304" s="1">
        <v>43810</v>
      </c>
      <c r="F304" s="2">
        <f ca="1">DATEDIF(EmpTable[[#This Row],[Start Date]],TODAY(),"Y")</f>
        <v>6</v>
      </c>
      <c r="G304" t="s">
        <v>27</v>
      </c>
      <c r="H304" t="s">
        <v>21</v>
      </c>
      <c r="I304" t="s">
        <v>35</v>
      </c>
      <c r="J304">
        <v>1385</v>
      </c>
      <c r="K304">
        <v>16620</v>
      </c>
      <c r="L304">
        <v>4.5</v>
      </c>
      <c r="M304">
        <v>0</v>
      </c>
      <c r="N304">
        <v>0</v>
      </c>
      <c r="O304">
        <v>6</v>
      </c>
    </row>
    <row r="305" spans="1:15" x14ac:dyDescent="0.3">
      <c r="A305">
        <v>304</v>
      </c>
      <c r="B305" t="s">
        <v>479</v>
      </c>
      <c r="C305" t="s">
        <v>480</v>
      </c>
      <c r="D305" t="s">
        <v>306</v>
      </c>
      <c r="E305" s="1">
        <v>43136</v>
      </c>
      <c r="F305" s="2">
        <f ca="1">DATEDIF(EmpTable[[#This Row],[Start Date]],TODAY(),"Y")</f>
        <v>8</v>
      </c>
      <c r="G305" t="s">
        <v>27</v>
      </c>
      <c r="H305" t="s">
        <v>28</v>
      </c>
      <c r="I305" t="s">
        <v>59</v>
      </c>
      <c r="J305">
        <v>2468</v>
      </c>
      <c r="K305">
        <v>29616</v>
      </c>
      <c r="L305">
        <v>1</v>
      </c>
      <c r="M305">
        <v>4</v>
      </c>
      <c r="N305">
        <v>0</v>
      </c>
      <c r="O305">
        <v>3</v>
      </c>
    </row>
    <row r="306" spans="1:15" x14ac:dyDescent="0.3">
      <c r="A306">
        <v>305</v>
      </c>
      <c r="B306" t="s">
        <v>481</v>
      </c>
      <c r="C306" t="s">
        <v>482</v>
      </c>
      <c r="D306" t="s">
        <v>306</v>
      </c>
      <c r="E306" s="1">
        <v>43280</v>
      </c>
      <c r="F306" s="2">
        <f ca="1">DATEDIF(EmpTable[[#This Row],[Start Date]],TODAY(),"Y")</f>
        <v>7</v>
      </c>
      <c r="G306" t="s">
        <v>87</v>
      </c>
      <c r="H306" t="s">
        <v>47</v>
      </c>
      <c r="I306" t="s">
        <v>41</v>
      </c>
      <c r="J306">
        <v>2098</v>
      </c>
      <c r="K306">
        <v>25176</v>
      </c>
      <c r="L306">
        <v>4.5</v>
      </c>
      <c r="M306">
        <v>0</v>
      </c>
      <c r="N306">
        <v>0</v>
      </c>
      <c r="O306">
        <v>3</v>
      </c>
    </row>
    <row r="307" spans="1:15" x14ac:dyDescent="0.3">
      <c r="A307">
        <v>306</v>
      </c>
      <c r="B307" t="s">
        <v>32</v>
      </c>
      <c r="C307" t="s">
        <v>483</v>
      </c>
      <c r="D307" t="s">
        <v>31</v>
      </c>
      <c r="E307" s="1">
        <v>43607</v>
      </c>
      <c r="F307" s="2">
        <f ca="1">DATEDIF(EmpTable[[#This Row],[Start Date]],TODAY(),"Y")</f>
        <v>6</v>
      </c>
      <c r="G307" t="s">
        <v>57</v>
      </c>
      <c r="H307" t="s">
        <v>28</v>
      </c>
      <c r="I307" t="s">
        <v>41</v>
      </c>
      <c r="J307">
        <v>2302</v>
      </c>
      <c r="K307">
        <v>27624</v>
      </c>
      <c r="L307">
        <v>3</v>
      </c>
      <c r="M307">
        <v>6</v>
      </c>
      <c r="N307">
        <v>0</v>
      </c>
      <c r="O307">
        <v>6</v>
      </c>
    </row>
    <row r="308" spans="1:15" x14ac:dyDescent="0.3">
      <c r="A308">
        <v>307</v>
      </c>
      <c r="B308" t="s">
        <v>326</v>
      </c>
      <c r="C308" t="s">
        <v>484</v>
      </c>
      <c r="D308" t="s">
        <v>31</v>
      </c>
      <c r="E308" s="1">
        <v>43565</v>
      </c>
      <c r="F308" s="2">
        <f ca="1">DATEDIF(EmpTable[[#This Row],[Start Date]],TODAY(),"Y")</f>
        <v>6</v>
      </c>
      <c r="G308" t="s">
        <v>52</v>
      </c>
      <c r="H308" t="s">
        <v>17</v>
      </c>
      <c r="I308" t="s">
        <v>41</v>
      </c>
      <c r="J308">
        <v>1623</v>
      </c>
      <c r="K308">
        <v>19476</v>
      </c>
      <c r="L308">
        <v>1</v>
      </c>
      <c r="M308">
        <v>6</v>
      </c>
      <c r="N308">
        <v>0</v>
      </c>
      <c r="O308">
        <v>4</v>
      </c>
    </row>
    <row r="309" spans="1:15" x14ac:dyDescent="0.3">
      <c r="A309">
        <v>308</v>
      </c>
      <c r="B309" t="s">
        <v>485</v>
      </c>
      <c r="C309" t="s">
        <v>486</v>
      </c>
      <c r="D309" t="s">
        <v>306</v>
      </c>
      <c r="E309" s="1">
        <v>43537</v>
      </c>
      <c r="F309" s="2">
        <f ca="1">DATEDIF(EmpTable[[#This Row],[Start Date]],TODAY(),"Y")</f>
        <v>6</v>
      </c>
      <c r="G309" t="s">
        <v>76</v>
      </c>
      <c r="H309" t="s">
        <v>293</v>
      </c>
      <c r="I309" t="s">
        <v>41</v>
      </c>
      <c r="J309">
        <v>1333</v>
      </c>
      <c r="K309">
        <v>15996</v>
      </c>
      <c r="L309">
        <v>3</v>
      </c>
      <c r="M309">
        <v>1</v>
      </c>
      <c r="N309">
        <v>6</v>
      </c>
      <c r="O309">
        <v>10</v>
      </c>
    </row>
    <row r="310" spans="1:15" x14ac:dyDescent="0.3">
      <c r="A310">
        <v>309</v>
      </c>
      <c r="B310" t="s">
        <v>32</v>
      </c>
      <c r="C310" t="s">
        <v>487</v>
      </c>
      <c r="D310" t="s">
        <v>31</v>
      </c>
      <c r="E310" s="1">
        <v>42692</v>
      </c>
      <c r="F310" s="2">
        <f ca="1">DATEDIF(EmpTable[[#This Row],[Start Date]],TODAY(),"Y")</f>
        <v>9</v>
      </c>
      <c r="G310" t="s">
        <v>16</v>
      </c>
      <c r="H310" t="s">
        <v>28</v>
      </c>
      <c r="I310" t="s">
        <v>41</v>
      </c>
      <c r="J310">
        <v>1431</v>
      </c>
      <c r="K310">
        <v>17172</v>
      </c>
      <c r="L310">
        <v>5</v>
      </c>
      <c r="M310">
        <v>0</v>
      </c>
      <c r="N310">
        <v>0</v>
      </c>
      <c r="O310">
        <v>4</v>
      </c>
    </row>
    <row r="311" spans="1:15" x14ac:dyDescent="0.3">
      <c r="A311">
        <v>310</v>
      </c>
      <c r="B311" t="s">
        <v>488</v>
      </c>
      <c r="C311" t="s">
        <v>489</v>
      </c>
      <c r="D311" t="s">
        <v>306</v>
      </c>
      <c r="E311" s="1">
        <v>43823</v>
      </c>
      <c r="F311" s="2">
        <f ca="1">DATEDIF(EmpTable[[#This Row],[Start Date]],TODAY(),"Y")</f>
        <v>6</v>
      </c>
      <c r="G311" t="s">
        <v>27</v>
      </c>
      <c r="H311" t="s">
        <v>17</v>
      </c>
      <c r="I311" t="s">
        <v>18</v>
      </c>
      <c r="J311">
        <v>2527</v>
      </c>
      <c r="K311">
        <v>30324</v>
      </c>
      <c r="L311">
        <v>3</v>
      </c>
      <c r="M311">
        <v>0</v>
      </c>
      <c r="N311">
        <v>0</v>
      </c>
      <c r="O311">
        <v>98</v>
      </c>
    </row>
    <row r="312" spans="1:15" x14ac:dyDescent="0.3">
      <c r="A312">
        <v>311</v>
      </c>
      <c r="B312" t="s">
        <v>309</v>
      </c>
      <c r="C312" t="s">
        <v>490</v>
      </c>
      <c r="D312" t="s">
        <v>306</v>
      </c>
      <c r="E312" s="1">
        <v>42772</v>
      </c>
      <c r="F312" s="2">
        <f ca="1">DATEDIF(EmpTable[[#This Row],[Start Date]],TODAY(),"Y")</f>
        <v>9</v>
      </c>
      <c r="G312" t="s">
        <v>27</v>
      </c>
      <c r="H312" t="s">
        <v>17</v>
      </c>
      <c r="I312" t="s">
        <v>59</v>
      </c>
      <c r="J312">
        <v>2631</v>
      </c>
      <c r="K312">
        <v>31572</v>
      </c>
      <c r="L312">
        <v>3</v>
      </c>
      <c r="M312">
        <v>0</v>
      </c>
      <c r="N312">
        <v>0</v>
      </c>
      <c r="O312">
        <v>7</v>
      </c>
    </row>
    <row r="313" spans="1:15" x14ac:dyDescent="0.3">
      <c r="A313">
        <v>312</v>
      </c>
      <c r="B313" t="s">
        <v>126</v>
      </c>
      <c r="C313" t="s">
        <v>491</v>
      </c>
      <c r="D313" t="s">
        <v>31</v>
      </c>
      <c r="E313" s="1">
        <v>43171</v>
      </c>
      <c r="F313" s="2">
        <f ca="1">DATEDIF(EmpTable[[#This Row],[Start Date]],TODAY(),"Y")</f>
        <v>7</v>
      </c>
      <c r="G313" t="s">
        <v>57</v>
      </c>
      <c r="H313" t="s">
        <v>17</v>
      </c>
      <c r="I313" t="s">
        <v>18</v>
      </c>
      <c r="J313">
        <v>1600</v>
      </c>
      <c r="K313">
        <v>19200</v>
      </c>
      <c r="L313">
        <v>4.5</v>
      </c>
      <c r="M313">
        <v>0</v>
      </c>
      <c r="N313">
        <v>0</v>
      </c>
      <c r="O313">
        <v>0</v>
      </c>
    </row>
    <row r="314" spans="1:15" x14ac:dyDescent="0.3">
      <c r="A314">
        <v>313</v>
      </c>
      <c r="B314" t="s">
        <v>492</v>
      </c>
      <c r="C314" t="s">
        <v>493</v>
      </c>
      <c r="D314" t="s">
        <v>31</v>
      </c>
      <c r="E314" s="1">
        <v>44181</v>
      </c>
      <c r="F314" s="2">
        <f ca="1">DATEDIF(EmpTable[[#This Row],[Start Date]],TODAY(),"Y")</f>
        <v>5</v>
      </c>
      <c r="G314" t="s">
        <v>92</v>
      </c>
      <c r="H314" t="s">
        <v>17</v>
      </c>
      <c r="I314" t="s">
        <v>41</v>
      </c>
      <c r="J314">
        <v>2752</v>
      </c>
      <c r="K314">
        <v>33024</v>
      </c>
      <c r="L314">
        <v>5</v>
      </c>
      <c r="M314">
        <v>0</v>
      </c>
      <c r="N314">
        <v>0</v>
      </c>
      <c r="O314">
        <v>4</v>
      </c>
    </row>
    <row r="315" spans="1:15" x14ac:dyDescent="0.3">
      <c r="A315">
        <v>314</v>
      </c>
      <c r="B315" t="s">
        <v>58</v>
      </c>
      <c r="C315" t="s">
        <v>343</v>
      </c>
      <c r="D315" t="s">
        <v>306</v>
      </c>
      <c r="E315" s="1">
        <v>43998</v>
      </c>
      <c r="F315" s="2">
        <f ca="1">DATEDIF(EmpTable[[#This Row],[Start Date]],TODAY(),"Y")</f>
        <v>5</v>
      </c>
      <c r="G315" t="s">
        <v>16</v>
      </c>
      <c r="H315" t="s">
        <v>17</v>
      </c>
      <c r="I315" t="s">
        <v>41</v>
      </c>
      <c r="J315">
        <v>3125</v>
      </c>
      <c r="K315">
        <v>37500</v>
      </c>
      <c r="L315">
        <v>5</v>
      </c>
      <c r="M315">
        <v>0</v>
      </c>
      <c r="N315">
        <v>0</v>
      </c>
      <c r="O315">
        <v>5</v>
      </c>
    </row>
    <row r="316" spans="1:15" x14ac:dyDescent="0.3">
      <c r="A316">
        <v>315</v>
      </c>
      <c r="B316" t="s">
        <v>494</v>
      </c>
      <c r="C316" t="s">
        <v>495</v>
      </c>
      <c r="D316" t="s">
        <v>306</v>
      </c>
      <c r="E316" s="1">
        <v>43648</v>
      </c>
      <c r="F316" s="2">
        <f ca="1">DATEDIF(EmpTable[[#This Row],[Start Date]],TODAY(),"Y")</f>
        <v>6</v>
      </c>
      <c r="G316" t="s">
        <v>49</v>
      </c>
      <c r="H316" t="s">
        <v>21</v>
      </c>
      <c r="I316" t="s">
        <v>18</v>
      </c>
      <c r="J316">
        <v>2091</v>
      </c>
      <c r="K316">
        <v>25092</v>
      </c>
      <c r="L316">
        <v>2</v>
      </c>
      <c r="M316">
        <v>0</v>
      </c>
      <c r="N316">
        <v>1</v>
      </c>
      <c r="O316">
        <v>9</v>
      </c>
    </row>
    <row r="317" spans="1:15" x14ac:dyDescent="0.3">
      <c r="A317">
        <v>316</v>
      </c>
      <c r="B317" t="s">
        <v>496</v>
      </c>
      <c r="C317" t="s">
        <v>497</v>
      </c>
      <c r="D317" t="s">
        <v>306</v>
      </c>
      <c r="E317" s="1">
        <v>42726</v>
      </c>
      <c r="F317" s="2">
        <f ca="1">DATEDIF(EmpTable[[#This Row],[Start Date]],TODAY(),"Y")</f>
        <v>9</v>
      </c>
      <c r="G317" t="s">
        <v>57</v>
      </c>
      <c r="H317" t="s">
        <v>28</v>
      </c>
      <c r="I317" t="s">
        <v>41</v>
      </c>
      <c r="J317">
        <v>1009</v>
      </c>
      <c r="K317">
        <v>12108</v>
      </c>
      <c r="L317">
        <v>4.5</v>
      </c>
      <c r="M317">
        <v>0</v>
      </c>
      <c r="N317">
        <v>0</v>
      </c>
      <c r="O317">
        <v>17</v>
      </c>
    </row>
    <row r="318" spans="1:15" x14ac:dyDescent="0.3">
      <c r="A318">
        <v>317</v>
      </c>
      <c r="B318" t="s">
        <v>32</v>
      </c>
      <c r="C318" t="s">
        <v>141</v>
      </c>
      <c r="D318" t="s">
        <v>31</v>
      </c>
      <c r="E318" s="1">
        <v>44115</v>
      </c>
      <c r="F318" s="2">
        <f ca="1">DATEDIF(EmpTable[[#This Row],[Start Date]],TODAY(),"Y")</f>
        <v>5</v>
      </c>
      <c r="G318" t="s">
        <v>16</v>
      </c>
      <c r="H318" t="s">
        <v>21</v>
      </c>
      <c r="I318" t="s">
        <v>41</v>
      </c>
      <c r="J318">
        <v>3443</v>
      </c>
      <c r="K318">
        <v>41316</v>
      </c>
      <c r="L318">
        <v>1</v>
      </c>
      <c r="M318">
        <v>0</v>
      </c>
      <c r="N318">
        <v>0</v>
      </c>
      <c r="O318">
        <v>1</v>
      </c>
    </row>
    <row r="319" spans="1:15" x14ac:dyDescent="0.3">
      <c r="A319">
        <v>318</v>
      </c>
      <c r="B319" t="s">
        <v>498</v>
      </c>
      <c r="C319" t="s">
        <v>499</v>
      </c>
      <c r="D319" t="s">
        <v>306</v>
      </c>
      <c r="E319" s="1">
        <v>43182</v>
      </c>
      <c r="F319" s="2">
        <f ca="1">DATEDIF(EmpTable[[#This Row],[Start Date]],TODAY(),"Y")</f>
        <v>7</v>
      </c>
      <c r="G319" t="s">
        <v>27</v>
      </c>
      <c r="H319" t="s">
        <v>47</v>
      </c>
      <c r="I319" t="s">
        <v>18</v>
      </c>
      <c r="J319">
        <v>1582</v>
      </c>
      <c r="K319">
        <v>18984</v>
      </c>
      <c r="L319">
        <v>4.5</v>
      </c>
      <c r="M319">
        <v>0</v>
      </c>
      <c r="N319">
        <v>0</v>
      </c>
      <c r="O319">
        <v>5</v>
      </c>
    </row>
    <row r="320" spans="1:15" x14ac:dyDescent="0.3">
      <c r="A320">
        <v>319</v>
      </c>
      <c r="B320" t="s">
        <v>500</v>
      </c>
      <c r="C320" t="s">
        <v>501</v>
      </c>
      <c r="D320" t="s">
        <v>306</v>
      </c>
      <c r="E320" s="1">
        <v>43528</v>
      </c>
      <c r="F320" s="2">
        <f ca="1">DATEDIF(EmpTable[[#This Row],[Start Date]],TODAY(),"Y")</f>
        <v>6</v>
      </c>
      <c r="G320" t="s">
        <v>57</v>
      </c>
      <c r="H320" t="s">
        <v>28</v>
      </c>
      <c r="I320" t="s">
        <v>35</v>
      </c>
      <c r="J320">
        <v>2103</v>
      </c>
      <c r="K320">
        <v>25236</v>
      </c>
      <c r="L320">
        <v>5</v>
      </c>
      <c r="M320">
        <v>1</v>
      </c>
      <c r="N320">
        <v>1</v>
      </c>
      <c r="O320">
        <v>2</v>
      </c>
    </row>
    <row r="321" spans="1:15" x14ac:dyDescent="0.3">
      <c r="A321">
        <v>320</v>
      </c>
      <c r="B321" t="s">
        <v>502</v>
      </c>
      <c r="C321" t="s">
        <v>503</v>
      </c>
      <c r="D321" t="s">
        <v>306</v>
      </c>
      <c r="E321" s="1">
        <v>43106</v>
      </c>
      <c r="F321" s="2">
        <f ca="1">DATEDIF(EmpTable[[#This Row],[Start Date]],TODAY(),"Y")</f>
        <v>8</v>
      </c>
      <c r="G321" t="s">
        <v>92</v>
      </c>
      <c r="H321" t="s">
        <v>17</v>
      </c>
      <c r="I321" t="s">
        <v>41</v>
      </c>
      <c r="J321">
        <v>3108</v>
      </c>
      <c r="K321">
        <v>37296</v>
      </c>
      <c r="L321">
        <v>1</v>
      </c>
      <c r="M321">
        <v>0</v>
      </c>
      <c r="N321">
        <v>0</v>
      </c>
      <c r="O321">
        <v>45</v>
      </c>
    </row>
    <row r="322" spans="1:15" x14ac:dyDescent="0.3">
      <c r="A322">
        <v>321</v>
      </c>
      <c r="B322" t="s">
        <v>29</v>
      </c>
      <c r="C322" t="s">
        <v>504</v>
      </c>
      <c r="D322" t="s">
        <v>31</v>
      </c>
      <c r="E322" s="1">
        <v>42601</v>
      </c>
      <c r="F322" s="2">
        <f ca="1">DATEDIF(EmpTable[[#This Row],[Start Date]],TODAY(),"Y")</f>
        <v>9</v>
      </c>
      <c r="G322" t="s">
        <v>27</v>
      </c>
      <c r="H322" t="s">
        <v>17</v>
      </c>
      <c r="I322" t="s">
        <v>41</v>
      </c>
      <c r="J322">
        <v>1810</v>
      </c>
      <c r="K322">
        <v>21720</v>
      </c>
      <c r="L322">
        <v>3</v>
      </c>
      <c r="M322">
        <v>0</v>
      </c>
      <c r="N322">
        <v>0</v>
      </c>
      <c r="O322">
        <v>5</v>
      </c>
    </row>
    <row r="323" spans="1:15" x14ac:dyDescent="0.3">
      <c r="A323">
        <v>322</v>
      </c>
      <c r="B323" t="s">
        <v>505</v>
      </c>
      <c r="C323" t="s">
        <v>506</v>
      </c>
      <c r="D323" t="s">
        <v>31</v>
      </c>
      <c r="E323" s="1">
        <v>43322</v>
      </c>
      <c r="F323" s="2">
        <f ca="1">DATEDIF(EmpTable[[#This Row],[Start Date]],TODAY(),"Y")</f>
        <v>7</v>
      </c>
      <c r="G323" t="s">
        <v>117</v>
      </c>
      <c r="H323" t="s">
        <v>21</v>
      </c>
      <c r="I323" t="s">
        <v>18</v>
      </c>
      <c r="J323">
        <v>2312</v>
      </c>
      <c r="K323">
        <v>27744</v>
      </c>
      <c r="L323">
        <v>3</v>
      </c>
      <c r="M323">
        <v>3</v>
      </c>
      <c r="N323">
        <v>0</v>
      </c>
      <c r="O323">
        <v>10</v>
      </c>
    </row>
    <row r="324" spans="1:15" x14ac:dyDescent="0.3">
      <c r="A324">
        <v>323</v>
      </c>
      <c r="B324" t="s">
        <v>299</v>
      </c>
      <c r="C324" t="s">
        <v>373</v>
      </c>
      <c r="D324" t="s">
        <v>306</v>
      </c>
      <c r="E324" s="1">
        <v>43993</v>
      </c>
      <c r="F324" s="2">
        <f ca="1">DATEDIF(EmpTable[[#This Row],[Start Date]],TODAY(),"Y")</f>
        <v>5</v>
      </c>
      <c r="G324" t="s">
        <v>52</v>
      </c>
      <c r="H324" t="s">
        <v>17</v>
      </c>
      <c r="I324" t="s">
        <v>41</v>
      </c>
      <c r="J324">
        <v>2783</v>
      </c>
      <c r="K324">
        <v>33396</v>
      </c>
      <c r="L324">
        <v>1</v>
      </c>
      <c r="M324">
        <v>2</v>
      </c>
      <c r="N324">
        <v>0</v>
      </c>
      <c r="O324">
        <v>15</v>
      </c>
    </row>
    <row r="325" spans="1:15" x14ac:dyDescent="0.3">
      <c r="A325">
        <v>324</v>
      </c>
      <c r="B325" t="s">
        <v>32</v>
      </c>
      <c r="C325" t="s">
        <v>507</v>
      </c>
      <c r="D325" t="s">
        <v>31</v>
      </c>
      <c r="E325" s="1">
        <v>44167</v>
      </c>
      <c r="F325" s="2">
        <f ca="1">DATEDIF(EmpTable[[#This Row],[Start Date]],TODAY(),"Y")</f>
        <v>5</v>
      </c>
      <c r="G325" t="s">
        <v>16</v>
      </c>
      <c r="H325" t="s">
        <v>17</v>
      </c>
      <c r="I325" t="s">
        <v>41</v>
      </c>
      <c r="J325">
        <v>3428</v>
      </c>
      <c r="K325">
        <v>41136</v>
      </c>
      <c r="L325">
        <v>3</v>
      </c>
      <c r="M325">
        <v>5</v>
      </c>
      <c r="N325">
        <v>0</v>
      </c>
      <c r="O325">
        <v>10</v>
      </c>
    </row>
    <row r="326" spans="1:15" x14ac:dyDescent="0.3">
      <c r="A326">
        <v>325</v>
      </c>
      <c r="B326" t="s">
        <v>508</v>
      </c>
      <c r="C326" t="s">
        <v>197</v>
      </c>
      <c r="D326" t="s">
        <v>31</v>
      </c>
      <c r="E326" s="1">
        <v>43136</v>
      </c>
      <c r="F326" s="2">
        <f ca="1">DATEDIF(EmpTable[[#This Row],[Start Date]],TODAY(),"Y")</f>
        <v>8</v>
      </c>
      <c r="G326" t="s">
        <v>40</v>
      </c>
      <c r="H326" t="s">
        <v>17</v>
      </c>
      <c r="I326" t="s">
        <v>35</v>
      </c>
      <c r="J326">
        <v>3450</v>
      </c>
      <c r="K326">
        <v>41400</v>
      </c>
      <c r="L326">
        <v>2</v>
      </c>
      <c r="M326">
        <v>0</v>
      </c>
      <c r="N326">
        <v>4</v>
      </c>
      <c r="O326">
        <v>9</v>
      </c>
    </row>
    <row r="327" spans="1:15" x14ac:dyDescent="0.3">
      <c r="A327">
        <v>326</v>
      </c>
      <c r="B327" t="s">
        <v>32</v>
      </c>
      <c r="C327" t="s">
        <v>509</v>
      </c>
      <c r="D327" t="s">
        <v>31</v>
      </c>
      <c r="E327" s="1">
        <v>43362</v>
      </c>
      <c r="F327" s="2">
        <f ca="1">DATEDIF(EmpTable[[#This Row],[Start Date]],TODAY(),"Y")</f>
        <v>7</v>
      </c>
      <c r="G327" t="s">
        <v>352</v>
      </c>
      <c r="H327" t="s">
        <v>28</v>
      </c>
      <c r="I327" t="s">
        <v>41</v>
      </c>
      <c r="J327">
        <v>1226</v>
      </c>
      <c r="K327">
        <v>14712</v>
      </c>
      <c r="L327">
        <v>2</v>
      </c>
      <c r="M327">
        <v>6</v>
      </c>
      <c r="N327">
        <v>5</v>
      </c>
      <c r="O327">
        <v>4</v>
      </c>
    </row>
    <row r="328" spans="1:15" x14ac:dyDescent="0.3">
      <c r="A328">
        <v>327</v>
      </c>
      <c r="B328" t="s">
        <v>32</v>
      </c>
      <c r="C328" t="s">
        <v>63</v>
      </c>
      <c r="D328" t="s">
        <v>31</v>
      </c>
      <c r="E328" s="1">
        <v>43707</v>
      </c>
      <c r="F328" s="2">
        <f ca="1">DATEDIF(EmpTable[[#This Row],[Start Date]],TODAY(),"Y")</f>
        <v>6</v>
      </c>
      <c r="G328" t="s">
        <v>76</v>
      </c>
      <c r="H328" t="s">
        <v>17</v>
      </c>
      <c r="I328" t="s">
        <v>35</v>
      </c>
      <c r="J328">
        <v>3219</v>
      </c>
      <c r="K328">
        <v>38628</v>
      </c>
      <c r="L328">
        <v>3</v>
      </c>
      <c r="M328">
        <v>0</v>
      </c>
      <c r="N328">
        <v>0</v>
      </c>
      <c r="O328">
        <v>5</v>
      </c>
    </row>
    <row r="329" spans="1:15" x14ac:dyDescent="0.3">
      <c r="A329">
        <v>328</v>
      </c>
      <c r="B329" t="s">
        <v>169</v>
      </c>
      <c r="C329" t="s">
        <v>510</v>
      </c>
      <c r="D329" t="s">
        <v>31</v>
      </c>
      <c r="E329" s="1">
        <v>43574</v>
      </c>
      <c r="F329" s="2">
        <f ca="1">DATEDIF(EmpTable[[#This Row],[Start Date]],TODAY(),"Y")</f>
        <v>6</v>
      </c>
      <c r="G329" t="s">
        <v>16</v>
      </c>
      <c r="H329" t="s">
        <v>21</v>
      </c>
      <c r="I329" t="s">
        <v>41</v>
      </c>
      <c r="J329">
        <v>2060</v>
      </c>
      <c r="K329">
        <v>24720</v>
      </c>
      <c r="L329">
        <v>5</v>
      </c>
      <c r="M329">
        <v>0</v>
      </c>
      <c r="N329">
        <v>0</v>
      </c>
      <c r="O329">
        <v>14</v>
      </c>
    </row>
    <row r="330" spans="1:15" x14ac:dyDescent="0.3">
      <c r="A330">
        <v>329</v>
      </c>
      <c r="B330" t="s">
        <v>36</v>
      </c>
      <c r="C330" t="s">
        <v>511</v>
      </c>
      <c r="D330" t="s">
        <v>306</v>
      </c>
      <c r="E330" s="1">
        <v>43483</v>
      </c>
      <c r="F330" s="2">
        <f ca="1">DATEDIF(EmpTable[[#This Row],[Start Date]],TODAY(),"Y")</f>
        <v>7</v>
      </c>
      <c r="G330" t="s">
        <v>49</v>
      </c>
      <c r="H330" t="s">
        <v>47</v>
      </c>
      <c r="I330" t="s">
        <v>41</v>
      </c>
      <c r="J330">
        <v>2479</v>
      </c>
      <c r="K330">
        <v>29748</v>
      </c>
      <c r="L330">
        <v>5</v>
      </c>
      <c r="M330">
        <v>0</v>
      </c>
      <c r="N330">
        <v>2</v>
      </c>
      <c r="O330">
        <v>3</v>
      </c>
    </row>
    <row r="331" spans="1:15" x14ac:dyDescent="0.3">
      <c r="A331">
        <v>330</v>
      </c>
      <c r="B331" t="s">
        <v>374</v>
      </c>
      <c r="C331" t="s">
        <v>512</v>
      </c>
      <c r="D331" t="s">
        <v>306</v>
      </c>
      <c r="E331" s="1">
        <v>43248</v>
      </c>
      <c r="F331" s="2">
        <f ca="1">DATEDIF(EmpTable[[#This Row],[Start Date]],TODAY(),"Y")</f>
        <v>7</v>
      </c>
      <c r="G331" t="s">
        <v>34</v>
      </c>
      <c r="H331" t="s">
        <v>28</v>
      </c>
      <c r="I331" t="s">
        <v>41</v>
      </c>
      <c r="J331">
        <v>2106</v>
      </c>
      <c r="K331">
        <v>25272</v>
      </c>
      <c r="L331">
        <v>3</v>
      </c>
      <c r="M331">
        <v>0</v>
      </c>
      <c r="N331">
        <v>0</v>
      </c>
      <c r="O331">
        <v>9</v>
      </c>
    </row>
    <row r="332" spans="1:15" x14ac:dyDescent="0.3">
      <c r="A332">
        <v>331</v>
      </c>
      <c r="B332" t="s">
        <v>294</v>
      </c>
      <c r="C332" t="s">
        <v>513</v>
      </c>
      <c r="D332" t="s">
        <v>306</v>
      </c>
      <c r="E332" s="1">
        <v>43623</v>
      </c>
      <c r="F332" s="2">
        <f ca="1">DATEDIF(EmpTable[[#This Row],[Start Date]],TODAY(),"Y")</f>
        <v>6</v>
      </c>
      <c r="G332" t="s">
        <v>27</v>
      </c>
      <c r="H332" t="s">
        <v>21</v>
      </c>
      <c r="I332" t="s">
        <v>59</v>
      </c>
      <c r="J332">
        <v>1480</v>
      </c>
      <c r="K332">
        <v>17760</v>
      </c>
      <c r="L332">
        <v>2</v>
      </c>
      <c r="M332">
        <v>0</v>
      </c>
      <c r="N332">
        <v>0</v>
      </c>
      <c r="O332">
        <v>10</v>
      </c>
    </row>
    <row r="333" spans="1:15" x14ac:dyDescent="0.3">
      <c r="A333">
        <v>332</v>
      </c>
      <c r="B333" t="s">
        <v>514</v>
      </c>
      <c r="C333" t="s">
        <v>515</v>
      </c>
      <c r="D333" t="s">
        <v>306</v>
      </c>
      <c r="E333" s="1">
        <v>43058</v>
      </c>
      <c r="F333" s="2">
        <f ca="1">DATEDIF(EmpTable[[#This Row],[Start Date]],TODAY(),"Y")</f>
        <v>8</v>
      </c>
      <c r="G333" t="s">
        <v>27</v>
      </c>
      <c r="H333" t="s">
        <v>17</v>
      </c>
      <c r="I333" t="s">
        <v>18</v>
      </c>
      <c r="J333">
        <v>994</v>
      </c>
      <c r="K333">
        <v>11928</v>
      </c>
      <c r="L333">
        <v>1</v>
      </c>
      <c r="M333">
        <v>0</v>
      </c>
      <c r="N333">
        <v>0</v>
      </c>
      <c r="O333">
        <v>9</v>
      </c>
    </row>
    <row r="334" spans="1:15" x14ac:dyDescent="0.3">
      <c r="A334">
        <v>333</v>
      </c>
      <c r="B334" t="s">
        <v>29</v>
      </c>
      <c r="C334" t="s">
        <v>516</v>
      </c>
      <c r="D334" t="s">
        <v>31</v>
      </c>
      <c r="E334" s="1">
        <v>43797</v>
      </c>
      <c r="F334" s="2">
        <f ca="1">DATEDIF(EmpTable[[#This Row],[Start Date]],TODAY(),"Y")</f>
        <v>6</v>
      </c>
      <c r="G334" t="s">
        <v>52</v>
      </c>
      <c r="H334" t="s">
        <v>28</v>
      </c>
      <c r="I334" t="s">
        <v>41</v>
      </c>
      <c r="J334">
        <v>2119</v>
      </c>
      <c r="K334">
        <v>25428</v>
      </c>
      <c r="L334">
        <v>4.5</v>
      </c>
      <c r="M334">
        <v>1</v>
      </c>
      <c r="N334">
        <v>5</v>
      </c>
      <c r="O334">
        <v>0</v>
      </c>
    </row>
    <row r="335" spans="1:15" x14ac:dyDescent="0.3">
      <c r="A335">
        <v>334</v>
      </c>
      <c r="B335" t="s">
        <v>517</v>
      </c>
      <c r="C335" t="s">
        <v>518</v>
      </c>
      <c r="D335" t="s">
        <v>31</v>
      </c>
      <c r="E335" s="1">
        <v>43378</v>
      </c>
      <c r="F335" s="2">
        <f ca="1">DATEDIF(EmpTable[[#This Row],[Start Date]],TODAY(),"Y")</f>
        <v>7</v>
      </c>
      <c r="G335" t="s">
        <v>49</v>
      </c>
      <c r="H335" t="s">
        <v>17</v>
      </c>
      <c r="I335" t="s">
        <v>41</v>
      </c>
      <c r="J335">
        <v>1577</v>
      </c>
      <c r="K335">
        <v>18924</v>
      </c>
      <c r="L335">
        <v>4.5</v>
      </c>
      <c r="M335">
        <v>0</v>
      </c>
      <c r="N335">
        <v>0</v>
      </c>
      <c r="O335">
        <v>7</v>
      </c>
    </row>
    <row r="336" spans="1:15" x14ac:dyDescent="0.3">
      <c r="A336">
        <v>335</v>
      </c>
      <c r="B336" t="s">
        <v>48</v>
      </c>
      <c r="C336" t="s">
        <v>519</v>
      </c>
      <c r="D336" t="s">
        <v>31</v>
      </c>
      <c r="E336" s="1">
        <v>43224</v>
      </c>
      <c r="F336" s="2">
        <f ca="1">DATEDIF(EmpTable[[#This Row],[Start Date]],TODAY(),"Y")</f>
        <v>7</v>
      </c>
      <c r="G336" t="s">
        <v>16</v>
      </c>
      <c r="H336" t="s">
        <v>28</v>
      </c>
      <c r="I336" t="s">
        <v>41</v>
      </c>
      <c r="J336">
        <v>3160</v>
      </c>
      <c r="K336">
        <v>37920</v>
      </c>
      <c r="L336">
        <v>5</v>
      </c>
      <c r="M336">
        <v>0</v>
      </c>
      <c r="N336">
        <v>5</v>
      </c>
      <c r="O336">
        <v>10</v>
      </c>
    </row>
    <row r="337" spans="1:15" x14ac:dyDescent="0.3">
      <c r="A337">
        <v>336</v>
      </c>
      <c r="B337" t="s">
        <v>63</v>
      </c>
      <c r="C337" t="s">
        <v>520</v>
      </c>
      <c r="D337" t="s">
        <v>31</v>
      </c>
      <c r="E337" s="1">
        <v>44123</v>
      </c>
      <c r="F337" s="2">
        <f ca="1">DATEDIF(EmpTable[[#This Row],[Start Date]],TODAY(),"Y")</f>
        <v>5</v>
      </c>
      <c r="G337" t="s">
        <v>87</v>
      </c>
      <c r="H337" t="s">
        <v>21</v>
      </c>
      <c r="I337" t="s">
        <v>41</v>
      </c>
      <c r="J337">
        <v>2692</v>
      </c>
      <c r="K337">
        <v>32304</v>
      </c>
      <c r="L337">
        <v>1</v>
      </c>
      <c r="M337">
        <v>4</v>
      </c>
      <c r="N337">
        <v>0</v>
      </c>
      <c r="O337">
        <v>6</v>
      </c>
    </row>
    <row r="338" spans="1:15" x14ac:dyDescent="0.3">
      <c r="A338">
        <v>337</v>
      </c>
      <c r="B338" t="s">
        <v>521</v>
      </c>
      <c r="C338" t="s">
        <v>522</v>
      </c>
      <c r="D338" t="s">
        <v>31</v>
      </c>
      <c r="E338" s="1">
        <v>43430</v>
      </c>
      <c r="F338" s="2">
        <f ca="1">DATEDIF(EmpTable[[#This Row],[Start Date]],TODAY(),"Y")</f>
        <v>7</v>
      </c>
      <c r="G338" t="s">
        <v>40</v>
      </c>
      <c r="H338" t="s">
        <v>28</v>
      </c>
      <c r="I338" t="s">
        <v>59</v>
      </c>
      <c r="J338">
        <v>1448</v>
      </c>
      <c r="K338">
        <v>17376</v>
      </c>
      <c r="L338">
        <v>4.5</v>
      </c>
      <c r="M338">
        <v>0</v>
      </c>
      <c r="N338">
        <v>0</v>
      </c>
      <c r="O338">
        <v>1</v>
      </c>
    </row>
    <row r="339" spans="1:15" x14ac:dyDescent="0.3">
      <c r="A339">
        <v>338</v>
      </c>
      <c r="B339" t="s">
        <v>523</v>
      </c>
      <c r="C339" t="s">
        <v>524</v>
      </c>
      <c r="D339" t="s">
        <v>306</v>
      </c>
      <c r="E339" s="1">
        <v>43541</v>
      </c>
      <c r="F339" s="2">
        <f ca="1">DATEDIF(EmpTable[[#This Row],[Start Date]],TODAY(),"Y")</f>
        <v>6</v>
      </c>
      <c r="G339" t="s">
        <v>27</v>
      </c>
      <c r="H339" t="s">
        <v>17</v>
      </c>
      <c r="I339" t="s">
        <v>18</v>
      </c>
      <c r="J339">
        <v>1568</v>
      </c>
      <c r="K339">
        <v>18816</v>
      </c>
      <c r="L339">
        <v>3</v>
      </c>
      <c r="M339">
        <v>5</v>
      </c>
      <c r="N339">
        <v>0</v>
      </c>
      <c r="O339">
        <v>7</v>
      </c>
    </row>
    <row r="340" spans="1:15" x14ac:dyDescent="0.3">
      <c r="A340">
        <v>339</v>
      </c>
      <c r="B340" t="s">
        <v>436</v>
      </c>
      <c r="C340" t="s">
        <v>525</v>
      </c>
      <c r="D340" t="s">
        <v>31</v>
      </c>
      <c r="E340" s="1">
        <v>42724</v>
      </c>
      <c r="F340" s="2">
        <f ca="1">DATEDIF(EmpTable[[#This Row],[Start Date]],TODAY(),"Y")</f>
        <v>9</v>
      </c>
      <c r="G340" t="s">
        <v>52</v>
      </c>
      <c r="H340" t="s">
        <v>17</v>
      </c>
      <c r="I340" t="s">
        <v>35</v>
      </c>
      <c r="J340">
        <v>1823</v>
      </c>
      <c r="K340">
        <v>21876</v>
      </c>
      <c r="L340">
        <v>4.5</v>
      </c>
      <c r="M340">
        <v>5</v>
      </c>
      <c r="N340">
        <v>0</v>
      </c>
      <c r="O340">
        <v>9</v>
      </c>
    </row>
    <row r="341" spans="1:15" x14ac:dyDescent="0.3">
      <c r="A341">
        <v>340</v>
      </c>
      <c r="B341" t="s">
        <v>526</v>
      </c>
      <c r="C341" t="s">
        <v>527</v>
      </c>
      <c r="D341" t="s">
        <v>31</v>
      </c>
      <c r="E341" s="1">
        <v>43512</v>
      </c>
      <c r="F341" s="2">
        <f ca="1">DATEDIF(EmpTable[[#This Row],[Start Date]],TODAY(),"Y")</f>
        <v>7</v>
      </c>
      <c r="G341" t="s">
        <v>27</v>
      </c>
      <c r="H341" t="s">
        <v>17</v>
      </c>
      <c r="I341" t="s">
        <v>18</v>
      </c>
      <c r="J341">
        <v>1712</v>
      </c>
      <c r="K341">
        <v>20544</v>
      </c>
      <c r="L341">
        <v>4.5</v>
      </c>
      <c r="M341">
        <v>0</v>
      </c>
      <c r="N341">
        <v>4</v>
      </c>
      <c r="O341">
        <v>15</v>
      </c>
    </row>
    <row r="342" spans="1:15" x14ac:dyDescent="0.3">
      <c r="A342">
        <v>341</v>
      </c>
      <c r="B342" t="s">
        <v>528</v>
      </c>
      <c r="C342" t="s">
        <v>529</v>
      </c>
      <c r="D342" t="s">
        <v>31</v>
      </c>
      <c r="E342" s="1">
        <v>44134</v>
      </c>
      <c r="F342" s="2">
        <f ca="1">DATEDIF(EmpTable[[#This Row],[Start Date]],TODAY(),"Y")</f>
        <v>5</v>
      </c>
      <c r="G342" t="s">
        <v>34</v>
      </c>
      <c r="H342" t="s">
        <v>28</v>
      </c>
      <c r="I342" t="s">
        <v>59</v>
      </c>
      <c r="J342">
        <v>744</v>
      </c>
      <c r="K342">
        <v>8928</v>
      </c>
      <c r="L342">
        <v>5</v>
      </c>
      <c r="M342">
        <v>5</v>
      </c>
      <c r="N342">
        <v>0</v>
      </c>
      <c r="O342">
        <v>8</v>
      </c>
    </row>
    <row r="343" spans="1:15" x14ac:dyDescent="0.3">
      <c r="A343">
        <v>342</v>
      </c>
      <c r="B343" t="s">
        <v>530</v>
      </c>
      <c r="C343" t="s">
        <v>531</v>
      </c>
      <c r="D343" t="s">
        <v>306</v>
      </c>
      <c r="E343" s="1">
        <v>42945</v>
      </c>
      <c r="F343" s="2">
        <f ca="1">DATEDIF(EmpTable[[#This Row],[Start Date]],TODAY(),"Y")</f>
        <v>8</v>
      </c>
      <c r="G343" t="s">
        <v>27</v>
      </c>
      <c r="H343" t="s">
        <v>17</v>
      </c>
      <c r="I343" t="s">
        <v>35</v>
      </c>
      <c r="J343">
        <v>2972</v>
      </c>
      <c r="K343">
        <v>35664</v>
      </c>
      <c r="L343">
        <v>5</v>
      </c>
      <c r="M343">
        <v>0</v>
      </c>
      <c r="N343">
        <v>4</v>
      </c>
      <c r="O343">
        <v>2</v>
      </c>
    </row>
    <row r="344" spans="1:15" x14ac:dyDescent="0.3">
      <c r="A344">
        <v>343</v>
      </c>
      <c r="B344" t="s">
        <v>456</v>
      </c>
      <c r="C344" t="s">
        <v>532</v>
      </c>
      <c r="D344" t="s">
        <v>31</v>
      </c>
      <c r="E344" s="1">
        <v>43785</v>
      </c>
      <c r="F344" s="2">
        <f ca="1">DATEDIF(EmpTable[[#This Row],[Start Date]],TODAY(),"Y")</f>
        <v>6</v>
      </c>
      <c r="G344" t="s">
        <v>40</v>
      </c>
      <c r="H344" t="s">
        <v>17</v>
      </c>
      <c r="I344" t="s">
        <v>35</v>
      </c>
      <c r="J344">
        <v>2931</v>
      </c>
      <c r="K344">
        <v>35172</v>
      </c>
      <c r="L344">
        <v>3</v>
      </c>
      <c r="M344">
        <v>6</v>
      </c>
      <c r="N344">
        <v>0</v>
      </c>
      <c r="O344">
        <v>71</v>
      </c>
    </row>
    <row r="345" spans="1:15" x14ac:dyDescent="0.3">
      <c r="A345">
        <v>344</v>
      </c>
      <c r="B345" t="s">
        <v>194</v>
      </c>
      <c r="C345" t="s">
        <v>533</v>
      </c>
      <c r="D345" t="s">
        <v>31</v>
      </c>
      <c r="E345" s="1">
        <v>43301</v>
      </c>
      <c r="F345" s="2">
        <f ca="1">DATEDIF(EmpTable[[#This Row],[Start Date]],TODAY(),"Y")</f>
        <v>7</v>
      </c>
      <c r="G345" t="s">
        <v>117</v>
      </c>
      <c r="H345" t="s">
        <v>47</v>
      </c>
      <c r="I345" t="s">
        <v>18</v>
      </c>
      <c r="J345">
        <v>2544</v>
      </c>
      <c r="K345">
        <v>30528</v>
      </c>
      <c r="L345">
        <v>3</v>
      </c>
      <c r="M345">
        <v>0</v>
      </c>
      <c r="N345">
        <v>0</v>
      </c>
      <c r="O345">
        <v>2</v>
      </c>
    </row>
    <row r="346" spans="1:15" x14ac:dyDescent="0.3">
      <c r="A346">
        <v>345</v>
      </c>
      <c r="B346" t="s">
        <v>534</v>
      </c>
      <c r="C346" t="s">
        <v>535</v>
      </c>
      <c r="D346" t="s">
        <v>31</v>
      </c>
      <c r="E346" s="1">
        <v>42605</v>
      </c>
      <c r="F346" s="2">
        <f ca="1">DATEDIF(EmpTable[[#This Row],[Start Date]],TODAY(),"Y")</f>
        <v>9</v>
      </c>
      <c r="G346" t="s">
        <v>27</v>
      </c>
      <c r="H346" t="s">
        <v>21</v>
      </c>
      <c r="I346" t="s">
        <v>41</v>
      </c>
      <c r="J346">
        <v>1595</v>
      </c>
      <c r="K346">
        <v>19140</v>
      </c>
      <c r="L346">
        <v>5</v>
      </c>
      <c r="M346">
        <v>0</v>
      </c>
      <c r="N346">
        <v>0</v>
      </c>
      <c r="O346">
        <v>0</v>
      </c>
    </row>
    <row r="347" spans="1:15" x14ac:dyDescent="0.3">
      <c r="A347">
        <v>346</v>
      </c>
      <c r="B347" t="s">
        <v>523</v>
      </c>
      <c r="C347" t="s">
        <v>536</v>
      </c>
      <c r="D347" t="s">
        <v>306</v>
      </c>
      <c r="E347" s="1">
        <v>43439</v>
      </c>
      <c r="F347" s="2">
        <f ca="1">DATEDIF(EmpTable[[#This Row],[Start Date]],TODAY(),"Y")</f>
        <v>7</v>
      </c>
      <c r="G347" t="s">
        <v>40</v>
      </c>
      <c r="H347" t="s">
        <v>47</v>
      </c>
      <c r="I347" t="s">
        <v>18</v>
      </c>
      <c r="J347">
        <v>1326</v>
      </c>
      <c r="K347">
        <v>15912</v>
      </c>
      <c r="L347">
        <v>3</v>
      </c>
      <c r="M347">
        <v>0</v>
      </c>
      <c r="N347">
        <v>3</v>
      </c>
      <c r="O347">
        <v>7</v>
      </c>
    </row>
    <row r="348" spans="1:15" x14ac:dyDescent="0.3">
      <c r="A348">
        <v>347</v>
      </c>
      <c r="B348" t="s">
        <v>19</v>
      </c>
      <c r="C348" t="s">
        <v>537</v>
      </c>
      <c r="D348" t="s">
        <v>31</v>
      </c>
      <c r="E348" s="1">
        <v>43492</v>
      </c>
      <c r="F348" s="2">
        <f ca="1">DATEDIF(EmpTable[[#This Row],[Start Date]],TODAY(),"Y")</f>
        <v>7</v>
      </c>
      <c r="G348" t="s">
        <v>57</v>
      </c>
      <c r="H348" t="s">
        <v>17</v>
      </c>
      <c r="I348" t="s">
        <v>41</v>
      </c>
      <c r="J348">
        <v>3117</v>
      </c>
      <c r="K348">
        <v>37404</v>
      </c>
      <c r="L348">
        <v>3</v>
      </c>
      <c r="M348">
        <v>0</v>
      </c>
      <c r="N348">
        <v>4</v>
      </c>
      <c r="O348">
        <v>0</v>
      </c>
    </row>
    <row r="349" spans="1:15" x14ac:dyDescent="0.3">
      <c r="A349">
        <v>348</v>
      </c>
      <c r="B349" t="s">
        <v>538</v>
      </c>
      <c r="C349" t="s">
        <v>539</v>
      </c>
      <c r="D349" t="s">
        <v>306</v>
      </c>
      <c r="E349" s="1">
        <v>43507</v>
      </c>
      <c r="F349" s="2">
        <f ca="1">DATEDIF(EmpTable[[#This Row],[Start Date]],TODAY(),"Y")</f>
        <v>7</v>
      </c>
      <c r="G349" t="s">
        <v>24</v>
      </c>
      <c r="H349" t="s">
        <v>17</v>
      </c>
      <c r="I349" t="s">
        <v>18</v>
      </c>
      <c r="J349">
        <v>3446</v>
      </c>
      <c r="K349">
        <v>41352</v>
      </c>
      <c r="L349">
        <v>5</v>
      </c>
      <c r="M349">
        <v>0</v>
      </c>
      <c r="N349">
        <v>0</v>
      </c>
      <c r="O349">
        <v>10</v>
      </c>
    </row>
    <row r="350" spans="1:15" x14ac:dyDescent="0.3">
      <c r="A350">
        <v>349</v>
      </c>
      <c r="B350" t="s">
        <v>19</v>
      </c>
      <c r="C350" t="s">
        <v>540</v>
      </c>
      <c r="D350" t="s">
        <v>31</v>
      </c>
      <c r="E350" s="1">
        <v>43476</v>
      </c>
      <c r="F350" s="2">
        <f ca="1">DATEDIF(EmpTable[[#This Row],[Start Date]],TODAY(),"Y")</f>
        <v>7</v>
      </c>
      <c r="G350" t="s">
        <v>27</v>
      </c>
      <c r="H350" t="s">
        <v>28</v>
      </c>
      <c r="I350" t="s">
        <v>18</v>
      </c>
      <c r="J350">
        <v>2023</v>
      </c>
      <c r="K350">
        <v>24276</v>
      </c>
      <c r="L350">
        <v>4.5</v>
      </c>
      <c r="M350">
        <v>6</v>
      </c>
      <c r="N350">
        <v>0</v>
      </c>
      <c r="O350">
        <v>6</v>
      </c>
    </row>
    <row r="351" spans="1:15" x14ac:dyDescent="0.3">
      <c r="A351">
        <v>350</v>
      </c>
      <c r="B351" t="s">
        <v>185</v>
      </c>
      <c r="C351" t="s">
        <v>541</v>
      </c>
      <c r="D351" t="s">
        <v>31</v>
      </c>
      <c r="E351" s="1">
        <v>44044</v>
      </c>
      <c r="F351" s="2">
        <f ca="1">DATEDIF(EmpTable[[#This Row],[Start Date]],TODAY(),"Y")</f>
        <v>5</v>
      </c>
      <c r="G351" t="s">
        <v>76</v>
      </c>
      <c r="H351" t="s">
        <v>17</v>
      </c>
      <c r="I351" t="s">
        <v>35</v>
      </c>
      <c r="J351">
        <v>979</v>
      </c>
      <c r="K351">
        <v>11748</v>
      </c>
      <c r="L351">
        <v>3</v>
      </c>
      <c r="M351">
        <v>6</v>
      </c>
      <c r="N351">
        <v>0</v>
      </c>
      <c r="O351">
        <v>4</v>
      </c>
    </row>
    <row r="352" spans="1:15" x14ac:dyDescent="0.3">
      <c r="A352">
        <v>351</v>
      </c>
      <c r="B352" t="s">
        <v>542</v>
      </c>
      <c r="C352" t="s">
        <v>543</v>
      </c>
      <c r="D352" t="s">
        <v>31</v>
      </c>
      <c r="E352" s="1">
        <v>44064</v>
      </c>
      <c r="F352" s="2">
        <f ca="1">DATEDIF(EmpTable[[#This Row],[Start Date]],TODAY(),"Y")</f>
        <v>5</v>
      </c>
      <c r="G352" t="s">
        <v>162</v>
      </c>
      <c r="H352" t="s">
        <v>17</v>
      </c>
      <c r="I352" t="s">
        <v>41</v>
      </c>
      <c r="J352">
        <v>1676</v>
      </c>
      <c r="K352">
        <v>20112</v>
      </c>
      <c r="L352">
        <v>4.5</v>
      </c>
      <c r="M352">
        <v>0</v>
      </c>
      <c r="N352">
        <v>0</v>
      </c>
      <c r="O352">
        <v>8</v>
      </c>
    </row>
    <row r="353" spans="1:15" x14ac:dyDescent="0.3">
      <c r="A353">
        <v>352</v>
      </c>
      <c r="B353" t="s">
        <v>544</v>
      </c>
      <c r="C353" t="s">
        <v>545</v>
      </c>
      <c r="D353" t="s">
        <v>306</v>
      </c>
      <c r="E353" s="1">
        <v>42747</v>
      </c>
      <c r="F353" s="2">
        <f ca="1">DATEDIF(EmpTable[[#This Row],[Start Date]],TODAY(),"Y")</f>
        <v>9</v>
      </c>
      <c r="G353" t="s">
        <v>38</v>
      </c>
      <c r="H353" t="s">
        <v>17</v>
      </c>
      <c r="I353" t="s">
        <v>35</v>
      </c>
      <c r="J353">
        <v>3079</v>
      </c>
      <c r="K353">
        <v>36948</v>
      </c>
      <c r="L353">
        <v>3</v>
      </c>
      <c r="M353">
        <v>0</v>
      </c>
      <c r="N353">
        <v>0</v>
      </c>
      <c r="O353">
        <v>2</v>
      </c>
    </row>
    <row r="354" spans="1:15" x14ac:dyDescent="0.3">
      <c r="A354">
        <v>353</v>
      </c>
      <c r="B354" t="s">
        <v>121</v>
      </c>
      <c r="C354" t="s">
        <v>164</v>
      </c>
      <c r="D354" t="s">
        <v>306</v>
      </c>
      <c r="E354" s="1">
        <v>43675</v>
      </c>
      <c r="F354" s="2">
        <f ca="1">DATEDIF(EmpTable[[#This Row],[Start Date]],TODAY(),"Y")</f>
        <v>6</v>
      </c>
      <c r="G354" t="s">
        <v>49</v>
      </c>
      <c r="H354" t="s">
        <v>17</v>
      </c>
      <c r="I354" t="s">
        <v>41</v>
      </c>
      <c r="J354">
        <v>2164</v>
      </c>
      <c r="K354">
        <v>25968</v>
      </c>
      <c r="L354">
        <v>3</v>
      </c>
      <c r="M354">
        <v>0</v>
      </c>
      <c r="N354">
        <v>2</v>
      </c>
      <c r="O354">
        <v>0</v>
      </c>
    </row>
    <row r="355" spans="1:15" x14ac:dyDescent="0.3">
      <c r="A355">
        <v>354</v>
      </c>
      <c r="B355" t="s">
        <v>456</v>
      </c>
      <c r="C355" t="s">
        <v>546</v>
      </c>
      <c r="D355" t="s">
        <v>31</v>
      </c>
      <c r="E355" s="1">
        <v>44146</v>
      </c>
      <c r="F355" s="2">
        <f ca="1">DATEDIF(EmpTable[[#This Row],[Start Date]],TODAY(),"Y")</f>
        <v>5</v>
      </c>
      <c r="G355" t="s">
        <v>27</v>
      </c>
      <c r="H355" t="s">
        <v>17</v>
      </c>
      <c r="I355" t="s">
        <v>41</v>
      </c>
      <c r="J355">
        <v>2312</v>
      </c>
      <c r="K355">
        <v>27744</v>
      </c>
      <c r="L355">
        <v>3</v>
      </c>
      <c r="M355">
        <v>0</v>
      </c>
      <c r="N355">
        <v>0</v>
      </c>
      <c r="O355">
        <v>31</v>
      </c>
    </row>
    <row r="356" spans="1:15" x14ac:dyDescent="0.3">
      <c r="A356">
        <v>355</v>
      </c>
      <c r="B356" t="s">
        <v>301</v>
      </c>
      <c r="C356" t="s">
        <v>166</v>
      </c>
      <c r="D356" t="s">
        <v>31</v>
      </c>
      <c r="E356" s="1">
        <v>42974</v>
      </c>
      <c r="F356" s="2">
        <f ca="1">DATEDIF(EmpTable[[#This Row],[Start Date]],TODAY(),"Y")</f>
        <v>8</v>
      </c>
      <c r="G356" t="s">
        <v>40</v>
      </c>
      <c r="H356" t="s">
        <v>17</v>
      </c>
      <c r="I356" t="s">
        <v>18</v>
      </c>
      <c r="J356">
        <v>834</v>
      </c>
      <c r="K356">
        <v>10008</v>
      </c>
      <c r="L356">
        <v>2</v>
      </c>
      <c r="M356">
        <v>6</v>
      </c>
      <c r="N356">
        <v>0</v>
      </c>
      <c r="O356">
        <v>13</v>
      </c>
    </row>
    <row r="357" spans="1:15" x14ac:dyDescent="0.3">
      <c r="A357">
        <v>356</v>
      </c>
      <c r="B357" t="s">
        <v>547</v>
      </c>
      <c r="C357" t="s">
        <v>548</v>
      </c>
      <c r="D357" t="s">
        <v>306</v>
      </c>
      <c r="E357" s="1">
        <v>43480</v>
      </c>
      <c r="F357" s="2">
        <f ca="1">DATEDIF(EmpTable[[#This Row],[Start Date]],TODAY(),"Y")</f>
        <v>7</v>
      </c>
      <c r="G357" t="s">
        <v>16</v>
      </c>
      <c r="H357" t="s">
        <v>17</v>
      </c>
      <c r="I357" t="s">
        <v>41</v>
      </c>
      <c r="J357">
        <v>723</v>
      </c>
      <c r="K357">
        <v>8676</v>
      </c>
      <c r="L357">
        <v>3</v>
      </c>
      <c r="M357">
        <v>0</v>
      </c>
      <c r="N357">
        <v>0</v>
      </c>
      <c r="O357">
        <v>10</v>
      </c>
    </row>
    <row r="358" spans="1:15" x14ac:dyDescent="0.3">
      <c r="A358">
        <v>357</v>
      </c>
      <c r="B358" t="s">
        <v>68</v>
      </c>
      <c r="C358" t="s">
        <v>549</v>
      </c>
      <c r="D358" t="s">
        <v>31</v>
      </c>
      <c r="E358" s="1">
        <v>42504</v>
      </c>
      <c r="F358" s="2">
        <f ca="1">DATEDIF(EmpTable[[#This Row],[Start Date]],TODAY(),"Y")</f>
        <v>9</v>
      </c>
      <c r="G358" t="s">
        <v>76</v>
      </c>
      <c r="H358" t="s">
        <v>17</v>
      </c>
      <c r="I358" t="s">
        <v>18</v>
      </c>
      <c r="J358">
        <v>2807</v>
      </c>
      <c r="K358">
        <v>33684</v>
      </c>
      <c r="L358">
        <v>3</v>
      </c>
      <c r="M358">
        <v>5</v>
      </c>
      <c r="N358">
        <v>1</v>
      </c>
      <c r="O358">
        <v>2</v>
      </c>
    </row>
    <row r="359" spans="1:15" x14ac:dyDescent="0.3">
      <c r="A359">
        <v>358</v>
      </c>
      <c r="B359" t="s">
        <v>550</v>
      </c>
      <c r="C359" t="s">
        <v>551</v>
      </c>
      <c r="D359" t="s">
        <v>306</v>
      </c>
      <c r="E359" s="1">
        <v>42904</v>
      </c>
      <c r="F359" s="2">
        <f ca="1">DATEDIF(EmpTable[[#This Row],[Start Date]],TODAY(),"Y")</f>
        <v>8</v>
      </c>
      <c r="G359" t="s">
        <v>57</v>
      </c>
      <c r="H359" t="s">
        <v>21</v>
      </c>
      <c r="I359" t="s">
        <v>35</v>
      </c>
      <c r="J359">
        <v>1002</v>
      </c>
      <c r="K359">
        <v>12024</v>
      </c>
      <c r="L359">
        <v>5</v>
      </c>
      <c r="M359">
        <v>1</v>
      </c>
      <c r="N359">
        <v>0</v>
      </c>
      <c r="O359">
        <v>3</v>
      </c>
    </row>
    <row r="360" spans="1:15" x14ac:dyDescent="0.3">
      <c r="A360">
        <v>359</v>
      </c>
      <c r="B360" t="s">
        <v>340</v>
      </c>
      <c r="C360" t="s">
        <v>552</v>
      </c>
      <c r="D360" t="s">
        <v>31</v>
      </c>
      <c r="E360" s="1">
        <v>44023</v>
      </c>
      <c r="F360" s="2">
        <f ca="1">DATEDIF(EmpTable[[#This Row],[Start Date]],TODAY(),"Y")</f>
        <v>5</v>
      </c>
      <c r="G360" t="s">
        <v>117</v>
      </c>
      <c r="H360" t="s">
        <v>17</v>
      </c>
      <c r="I360" t="s">
        <v>18</v>
      </c>
      <c r="J360">
        <v>2265</v>
      </c>
      <c r="K360">
        <v>27180</v>
      </c>
      <c r="L360">
        <v>5</v>
      </c>
      <c r="M360">
        <v>1</v>
      </c>
      <c r="N360">
        <v>0</v>
      </c>
      <c r="O360">
        <v>9</v>
      </c>
    </row>
    <row r="361" spans="1:15" x14ac:dyDescent="0.3">
      <c r="A361">
        <v>360</v>
      </c>
      <c r="B361" t="s">
        <v>553</v>
      </c>
      <c r="C361" t="s">
        <v>65</v>
      </c>
      <c r="D361" t="s">
        <v>31</v>
      </c>
      <c r="E361" s="1">
        <v>43753</v>
      </c>
      <c r="F361" s="2">
        <f ca="1">DATEDIF(EmpTable[[#This Row],[Start Date]],TODAY(),"Y")</f>
        <v>6</v>
      </c>
      <c r="G361" t="s">
        <v>16</v>
      </c>
      <c r="H361" t="s">
        <v>17</v>
      </c>
      <c r="I361" t="s">
        <v>35</v>
      </c>
      <c r="J361">
        <v>3283</v>
      </c>
      <c r="K361">
        <v>39396</v>
      </c>
      <c r="L361">
        <v>5</v>
      </c>
      <c r="M361">
        <v>0</v>
      </c>
      <c r="N361">
        <v>0</v>
      </c>
      <c r="O361">
        <v>3</v>
      </c>
    </row>
    <row r="362" spans="1:15" x14ac:dyDescent="0.3">
      <c r="A362">
        <v>361</v>
      </c>
      <c r="B362" t="s">
        <v>304</v>
      </c>
      <c r="C362" t="s">
        <v>554</v>
      </c>
      <c r="D362" t="s">
        <v>306</v>
      </c>
      <c r="E362" s="1">
        <v>43204</v>
      </c>
      <c r="F362" s="2">
        <f ca="1">DATEDIF(EmpTable[[#This Row],[Start Date]],TODAY(),"Y")</f>
        <v>7</v>
      </c>
      <c r="G362" t="s">
        <v>76</v>
      </c>
      <c r="H362" t="s">
        <v>17</v>
      </c>
      <c r="I362" t="s">
        <v>35</v>
      </c>
      <c r="J362">
        <v>2675</v>
      </c>
      <c r="K362">
        <v>32100</v>
      </c>
      <c r="L362">
        <v>3</v>
      </c>
      <c r="M362">
        <v>1</v>
      </c>
      <c r="N362">
        <v>6</v>
      </c>
      <c r="O362">
        <v>4</v>
      </c>
    </row>
    <row r="363" spans="1:15" x14ac:dyDescent="0.3">
      <c r="A363">
        <v>362</v>
      </c>
      <c r="B363" t="s">
        <v>32</v>
      </c>
      <c r="C363" t="s">
        <v>555</v>
      </c>
      <c r="D363" t="s">
        <v>31</v>
      </c>
      <c r="E363" s="1">
        <v>43481</v>
      </c>
      <c r="F363" s="2">
        <f ca="1">DATEDIF(EmpTable[[#This Row],[Start Date]],TODAY(),"Y")</f>
        <v>7</v>
      </c>
      <c r="G363" t="s">
        <v>57</v>
      </c>
      <c r="H363" t="s">
        <v>28</v>
      </c>
      <c r="I363" t="s">
        <v>41</v>
      </c>
      <c r="J363">
        <v>3056</v>
      </c>
      <c r="K363">
        <v>36672</v>
      </c>
      <c r="L363">
        <v>4.5</v>
      </c>
      <c r="M363">
        <v>0</v>
      </c>
      <c r="N363">
        <v>0</v>
      </c>
      <c r="O363">
        <v>9</v>
      </c>
    </row>
    <row r="364" spans="1:15" x14ac:dyDescent="0.3">
      <c r="A364">
        <v>363</v>
      </c>
      <c r="B364" t="s">
        <v>128</v>
      </c>
      <c r="C364" t="s">
        <v>556</v>
      </c>
      <c r="D364" t="s">
        <v>31</v>
      </c>
      <c r="E364" s="1">
        <v>43752</v>
      </c>
      <c r="F364" s="2">
        <f ca="1">DATEDIF(EmpTable[[#This Row],[Start Date]],TODAY(),"Y")</f>
        <v>6</v>
      </c>
      <c r="G364" t="s">
        <v>27</v>
      </c>
      <c r="H364" t="s">
        <v>17</v>
      </c>
      <c r="I364" t="s">
        <v>18</v>
      </c>
      <c r="J364">
        <v>1579</v>
      </c>
      <c r="K364">
        <v>18948</v>
      </c>
      <c r="L364">
        <v>3</v>
      </c>
      <c r="M364">
        <v>0</v>
      </c>
      <c r="N364">
        <v>0</v>
      </c>
      <c r="O364">
        <v>14</v>
      </c>
    </row>
    <row r="365" spans="1:15" x14ac:dyDescent="0.3">
      <c r="A365">
        <v>364</v>
      </c>
      <c r="B365" t="s">
        <v>29</v>
      </c>
      <c r="C365" t="s">
        <v>557</v>
      </c>
      <c r="D365" t="s">
        <v>31</v>
      </c>
      <c r="E365" s="1">
        <v>43622</v>
      </c>
      <c r="F365" s="2">
        <f ca="1">DATEDIF(EmpTable[[#This Row],[Start Date]],TODAY(),"Y")</f>
        <v>6</v>
      </c>
      <c r="G365" t="s">
        <v>57</v>
      </c>
      <c r="H365" t="s">
        <v>21</v>
      </c>
      <c r="I365" t="s">
        <v>897</v>
      </c>
      <c r="J365">
        <v>1255</v>
      </c>
      <c r="K365">
        <v>15060</v>
      </c>
      <c r="L365">
        <v>3</v>
      </c>
      <c r="M365">
        <v>6</v>
      </c>
      <c r="N365">
        <v>0</v>
      </c>
      <c r="O365">
        <v>0</v>
      </c>
    </row>
    <row r="366" spans="1:15" x14ac:dyDescent="0.3">
      <c r="A366">
        <v>365</v>
      </c>
      <c r="B366" t="s">
        <v>196</v>
      </c>
      <c r="C366" t="s">
        <v>558</v>
      </c>
      <c r="D366" t="s">
        <v>31</v>
      </c>
      <c r="E366" s="1">
        <v>43496</v>
      </c>
      <c r="F366" s="2">
        <f ca="1">DATEDIF(EmpTable[[#This Row],[Start Date]],TODAY(),"Y")</f>
        <v>7</v>
      </c>
      <c r="G366" t="s">
        <v>16</v>
      </c>
      <c r="H366" t="s">
        <v>17</v>
      </c>
      <c r="I366" t="s">
        <v>897</v>
      </c>
      <c r="J366">
        <v>3418</v>
      </c>
      <c r="K366">
        <v>41016</v>
      </c>
      <c r="L366">
        <v>3</v>
      </c>
      <c r="M366">
        <v>4</v>
      </c>
      <c r="N366">
        <v>0</v>
      </c>
      <c r="O366">
        <v>1</v>
      </c>
    </row>
    <row r="367" spans="1:15" x14ac:dyDescent="0.3">
      <c r="A367">
        <v>366</v>
      </c>
      <c r="B367" t="s">
        <v>387</v>
      </c>
      <c r="C367" t="s">
        <v>559</v>
      </c>
      <c r="D367" t="s">
        <v>31</v>
      </c>
      <c r="E367" s="1">
        <v>44165</v>
      </c>
      <c r="F367" s="2">
        <f ca="1">DATEDIF(EmpTable[[#This Row],[Start Date]],TODAY(),"Y")</f>
        <v>5</v>
      </c>
      <c r="G367" t="s">
        <v>57</v>
      </c>
      <c r="H367" t="s">
        <v>17</v>
      </c>
      <c r="I367" t="s">
        <v>897</v>
      </c>
      <c r="J367">
        <v>3368</v>
      </c>
      <c r="K367">
        <v>40416</v>
      </c>
      <c r="L367">
        <v>3</v>
      </c>
      <c r="M367">
        <v>0</v>
      </c>
      <c r="N367">
        <v>0</v>
      </c>
      <c r="O367">
        <v>8</v>
      </c>
    </row>
    <row r="368" spans="1:15" x14ac:dyDescent="0.3">
      <c r="A368">
        <v>367</v>
      </c>
      <c r="B368" t="s">
        <v>560</v>
      </c>
      <c r="C368" t="s">
        <v>561</v>
      </c>
      <c r="D368" t="s">
        <v>306</v>
      </c>
      <c r="E368" s="1">
        <v>43784</v>
      </c>
      <c r="F368" s="2">
        <f ca="1">DATEDIF(EmpTable[[#This Row],[Start Date]],TODAY(),"Y")</f>
        <v>6</v>
      </c>
      <c r="G368" t="s">
        <v>44</v>
      </c>
      <c r="H368" t="s">
        <v>28</v>
      </c>
      <c r="I368" t="s">
        <v>35</v>
      </c>
      <c r="J368">
        <v>3275</v>
      </c>
      <c r="K368">
        <v>39300</v>
      </c>
      <c r="L368">
        <v>3</v>
      </c>
      <c r="M368">
        <v>1</v>
      </c>
      <c r="N368">
        <v>2</v>
      </c>
      <c r="O368">
        <v>12</v>
      </c>
    </row>
    <row r="369" spans="1:15" x14ac:dyDescent="0.3">
      <c r="A369">
        <v>368</v>
      </c>
      <c r="B369" t="s">
        <v>58</v>
      </c>
      <c r="C369" t="s">
        <v>369</v>
      </c>
      <c r="D369" t="s">
        <v>306</v>
      </c>
      <c r="E369" s="1">
        <v>44192</v>
      </c>
      <c r="F369" s="2">
        <f ca="1">DATEDIF(EmpTable[[#This Row],[Start Date]],TODAY(),"Y")</f>
        <v>5</v>
      </c>
      <c r="G369" t="s">
        <v>49</v>
      </c>
      <c r="H369" t="s">
        <v>28</v>
      </c>
      <c r="I369" t="s">
        <v>18</v>
      </c>
      <c r="J369">
        <v>3043</v>
      </c>
      <c r="K369">
        <v>36516</v>
      </c>
      <c r="L369">
        <v>2</v>
      </c>
      <c r="M369">
        <v>0</v>
      </c>
      <c r="N369">
        <v>0</v>
      </c>
      <c r="O369">
        <v>8</v>
      </c>
    </row>
    <row r="370" spans="1:15" x14ac:dyDescent="0.3">
      <c r="A370">
        <v>369</v>
      </c>
      <c r="B370" t="s">
        <v>562</v>
      </c>
      <c r="C370" t="s">
        <v>563</v>
      </c>
      <c r="D370" t="s">
        <v>306</v>
      </c>
      <c r="E370" s="1">
        <v>43803</v>
      </c>
      <c r="F370" s="2">
        <f ca="1">DATEDIF(EmpTable[[#This Row],[Start Date]],TODAY(),"Y")</f>
        <v>6</v>
      </c>
      <c r="G370" t="s">
        <v>117</v>
      </c>
      <c r="H370" t="s">
        <v>293</v>
      </c>
      <c r="I370" t="s">
        <v>35</v>
      </c>
      <c r="J370">
        <v>1122</v>
      </c>
      <c r="K370">
        <v>13464</v>
      </c>
      <c r="L370">
        <v>4.5</v>
      </c>
      <c r="M370">
        <v>2</v>
      </c>
      <c r="N370">
        <v>4</v>
      </c>
      <c r="O370">
        <v>7</v>
      </c>
    </row>
    <row r="371" spans="1:15" x14ac:dyDescent="0.3">
      <c r="A371">
        <v>370</v>
      </c>
      <c r="B371" t="s">
        <v>287</v>
      </c>
      <c r="C371" t="s">
        <v>564</v>
      </c>
      <c r="D371" t="s">
        <v>306</v>
      </c>
      <c r="E371" s="1">
        <v>43183</v>
      </c>
      <c r="F371" s="2">
        <f ca="1">DATEDIF(EmpTable[[#This Row],[Start Date]],TODAY(),"Y")</f>
        <v>7</v>
      </c>
      <c r="G371" t="s">
        <v>27</v>
      </c>
      <c r="H371" t="s">
        <v>17</v>
      </c>
      <c r="I371" t="s">
        <v>41</v>
      </c>
      <c r="J371">
        <v>764</v>
      </c>
      <c r="K371">
        <v>9168</v>
      </c>
      <c r="L371">
        <v>5</v>
      </c>
      <c r="M371">
        <v>4</v>
      </c>
      <c r="N371">
        <v>1</v>
      </c>
      <c r="O371">
        <v>13</v>
      </c>
    </row>
    <row r="372" spans="1:15" x14ac:dyDescent="0.3">
      <c r="A372">
        <v>371</v>
      </c>
      <c r="B372" t="s">
        <v>88</v>
      </c>
      <c r="C372" t="s">
        <v>565</v>
      </c>
      <c r="D372" t="s">
        <v>306</v>
      </c>
      <c r="E372" s="1">
        <v>43498</v>
      </c>
      <c r="F372" s="2">
        <f ca="1">DATEDIF(EmpTable[[#This Row],[Start Date]],TODAY(),"Y")</f>
        <v>7</v>
      </c>
      <c r="G372" t="s">
        <v>40</v>
      </c>
      <c r="H372" t="s">
        <v>21</v>
      </c>
      <c r="I372" t="s">
        <v>35</v>
      </c>
      <c r="J372">
        <v>2879</v>
      </c>
      <c r="K372">
        <v>34548</v>
      </c>
      <c r="L372">
        <v>2</v>
      </c>
      <c r="M372">
        <v>0</v>
      </c>
      <c r="N372">
        <v>0</v>
      </c>
      <c r="O372">
        <v>8</v>
      </c>
    </row>
    <row r="373" spans="1:15" x14ac:dyDescent="0.3">
      <c r="A373">
        <v>372</v>
      </c>
      <c r="B373" t="s">
        <v>32</v>
      </c>
      <c r="C373" t="s">
        <v>566</v>
      </c>
      <c r="D373" t="s">
        <v>31</v>
      </c>
      <c r="E373" s="1">
        <v>43886</v>
      </c>
      <c r="F373" s="2">
        <f ca="1">DATEDIF(EmpTable[[#This Row],[Start Date]],TODAY(),"Y")</f>
        <v>6</v>
      </c>
      <c r="G373" t="s">
        <v>27</v>
      </c>
      <c r="H373" t="s">
        <v>28</v>
      </c>
      <c r="I373" t="s">
        <v>18</v>
      </c>
      <c r="J373">
        <v>2252</v>
      </c>
      <c r="K373">
        <v>27024</v>
      </c>
      <c r="L373">
        <v>3</v>
      </c>
      <c r="M373">
        <v>1</v>
      </c>
      <c r="N373">
        <v>0</v>
      </c>
      <c r="O373">
        <v>50</v>
      </c>
    </row>
    <row r="374" spans="1:15" x14ac:dyDescent="0.3">
      <c r="A374">
        <v>373</v>
      </c>
      <c r="B374" t="s">
        <v>29</v>
      </c>
      <c r="C374" t="s">
        <v>141</v>
      </c>
      <c r="D374" t="s">
        <v>31</v>
      </c>
      <c r="E374" s="1">
        <v>43413</v>
      </c>
      <c r="F374" s="2">
        <f ca="1">DATEDIF(EmpTable[[#This Row],[Start Date]],TODAY(),"Y")</f>
        <v>7</v>
      </c>
      <c r="G374" t="s">
        <v>34</v>
      </c>
      <c r="H374" t="s">
        <v>28</v>
      </c>
      <c r="I374" t="s">
        <v>59</v>
      </c>
      <c r="J374">
        <v>2149</v>
      </c>
      <c r="K374">
        <v>25788</v>
      </c>
      <c r="L374">
        <v>3</v>
      </c>
      <c r="M374">
        <v>0</v>
      </c>
      <c r="N374">
        <v>0</v>
      </c>
      <c r="O374">
        <v>1</v>
      </c>
    </row>
    <row r="375" spans="1:15" x14ac:dyDescent="0.3">
      <c r="A375">
        <v>374</v>
      </c>
      <c r="B375" t="s">
        <v>29</v>
      </c>
      <c r="C375" t="s">
        <v>567</v>
      </c>
      <c r="D375" t="s">
        <v>31</v>
      </c>
      <c r="E375" s="1">
        <v>43777</v>
      </c>
      <c r="F375" s="2">
        <f ca="1">DATEDIF(EmpTable[[#This Row],[Start Date]],TODAY(),"Y")</f>
        <v>6</v>
      </c>
      <c r="G375" t="s">
        <v>199</v>
      </c>
      <c r="H375" t="s">
        <v>28</v>
      </c>
      <c r="I375" t="s">
        <v>41</v>
      </c>
      <c r="J375">
        <v>2428</v>
      </c>
      <c r="K375">
        <v>29136</v>
      </c>
      <c r="L375">
        <v>5</v>
      </c>
      <c r="M375">
        <v>0</v>
      </c>
      <c r="N375">
        <v>0</v>
      </c>
      <c r="O375">
        <v>35</v>
      </c>
    </row>
    <row r="376" spans="1:15" x14ac:dyDescent="0.3">
      <c r="A376">
        <v>375</v>
      </c>
      <c r="B376" t="s">
        <v>32</v>
      </c>
      <c r="C376" t="s">
        <v>568</v>
      </c>
      <c r="D376" t="s">
        <v>31</v>
      </c>
      <c r="E376" s="1">
        <v>43750</v>
      </c>
      <c r="F376" s="2">
        <f ca="1">DATEDIF(EmpTable[[#This Row],[Start Date]],TODAY(),"Y")</f>
        <v>6</v>
      </c>
      <c r="G376" t="s">
        <v>27</v>
      </c>
      <c r="H376" t="s">
        <v>17</v>
      </c>
      <c r="I376" t="s">
        <v>41</v>
      </c>
      <c r="J376">
        <v>3240</v>
      </c>
      <c r="K376">
        <v>38880</v>
      </c>
      <c r="L376">
        <v>5</v>
      </c>
      <c r="M376">
        <v>0</v>
      </c>
      <c r="N376">
        <v>0</v>
      </c>
      <c r="O376">
        <v>6</v>
      </c>
    </row>
    <row r="377" spans="1:15" x14ac:dyDescent="0.3">
      <c r="A377">
        <v>376</v>
      </c>
      <c r="B377" t="s">
        <v>58</v>
      </c>
      <c r="C377" t="s">
        <v>569</v>
      </c>
      <c r="D377" t="s">
        <v>306</v>
      </c>
      <c r="E377" s="1">
        <v>43170</v>
      </c>
      <c r="F377" s="2">
        <f ca="1">DATEDIF(EmpTable[[#This Row],[Start Date]],TODAY(),"Y")</f>
        <v>7</v>
      </c>
      <c r="G377" t="s">
        <v>40</v>
      </c>
      <c r="H377" t="s">
        <v>17</v>
      </c>
      <c r="I377" t="s">
        <v>897</v>
      </c>
      <c r="J377">
        <v>1448</v>
      </c>
      <c r="K377">
        <v>17376</v>
      </c>
      <c r="L377">
        <v>3</v>
      </c>
      <c r="M377">
        <v>4</v>
      </c>
      <c r="N377">
        <v>0</v>
      </c>
      <c r="O377">
        <v>10</v>
      </c>
    </row>
    <row r="378" spans="1:15" x14ac:dyDescent="0.3">
      <c r="A378">
        <v>377</v>
      </c>
      <c r="B378" t="s">
        <v>63</v>
      </c>
      <c r="C378" t="s">
        <v>570</v>
      </c>
      <c r="D378" t="s">
        <v>31</v>
      </c>
      <c r="E378" s="1">
        <v>44044</v>
      </c>
      <c r="F378" s="2">
        <f ca="1">DATEDIF(EmpTable[[#This Row],[Start Date]],TODAY(),"Y")</f>
        <v>5</v>
      </c>
      <c r="G378" t="s">
        <v>27</v>
      </c>
      <c r="H378" t="s">
        <v>17</v>
      </c>
      <c r="I378" t="s">
        <v>897</v>
      </c>
      <c r="J378">
        <v>2409</v>
      </c>
      <c r="K378">
        <v>28908</v>
      </c>
      <c r="L378">
        <v>3</v>
      </c>
      <c r="M378">
        <v>3</v>
      </c>
      <c r="N378">
        <v>3</v>
      </c>
      <c r="O378">
        <v>3</v>
      </c>
    </row>
    <row r="379" spans="1:15" x14ac:dyDescent="0.3">
      <c r="A379">
        <v>378</v>
      </c>
      <c r="B379" t="s">
        <v>334</v>
      </c>
      <c r="C379" t="s">
        <v>571</v>
      </c>
      <c r="D379" t="s">
        <v>31</v>
      </c>
      <c r="E379" s="1">
        <v>43741</v>
      </c>
      <c r="F379" s="2">
        <f ca="1">DATEDIF(EmpTable[[#This Row],[Start Date]],TODAY(),"Y")</f>
        <v>6</v>
      </c>
      <c r="G379" t="s">
        <v>87</v>
      </c>
      <c r="H379" t="s">
        <v>28</v>
      </c>
      <c r="I379" t="s">
        <v>59</v>
      </c>
      <c r="J379">
        <v>3030</v>
      </c>
      <c r="K379">
        <v>36360</v>
      </c>
      <c r="L379">
        <v>2</v>
      </c>
      <c r="M379">
        <v>6</v>
      </c>
      <c r="N379">
        <v>0</v>
      </c>
      <c r="O379">
        <v>5</v>
      </c>
    </row>
    <row r="380" spans="1:15" x14ac:dyDescent="0.3">
      <c r="A380">
        <v>379</v>
      </c>
      <c r="B380" t="s">
        <v>29</v>
      </c>
      <c r="C380" t="s">
        <v>572</v>
      </c>
      <c r="D380" t="s">
        <v>31</v>
      </c>
      <c r="E380" s="1">
        <v>44092</v>
      </c>
      <c r="F380" s="2">
        <f ca="1">DATEDIF(EmpTable[[#This Row],[Start Date]],TODAY(),"Y")</f>
        <v>5</v>
      </c>
      <c r="G380" t="s">
        <v>27</v>
      </c>
      <c r="H380" t="s">
        <v>28</v>
      </c>
      <c r="I380" t="s">
        <v>35</v>
      </c>
      <c r="J380">
        <v>2544</v>
      </c>
      <c r="K380">
        <v>30528</v>
      </c>
      <c r="L380">
        <v>5</v>
      </c>
      <c r="M380">
        <v>0</v>
      </c>
      <c r="N380">
        <v>0</v>
      </c>
      <c r="O380">
        <v>11</v>
      </c>
    </row>
    <row r="381" spans="1:15" x14ac:dyDescent="0.3">
      <c r="A381">
        <v>380</v>
      </c>
      <c r="B381" t="s">
        <v>573</v>
      </c>
      <c r="C381" t="s">
        <v>29</v>
      </c>
      <c r="D381" t="s">
        <v>31</v>
      </c>
      <c r="E381" s="1">
        <v>42778</v>
      </c>
      <c r="F381" s="2">
        <f ca="1">DATEDIF(EmpTable[[#This Row],[Start Date]],TODAY(),"Y")</f>
        <v>9</v>
      </c>
      <c r="G381" t="s">
        <v>52</v>
      </c>
      <c r="H381" t="s">
        <v>17</v>
      </c>
      <c r="I381" t="s">
        <v>18</v>
      </c>
      <c r="J381">
        <v>2872</v>
      </c>
      <c r="K381">
        <v>34464</v>
      </c>
      <c r="L381">
        <v>4.5</v>
      </c>
      <c r="M381">
        <v>5</v>
      </c>
      <c r="N381">
        <v>0</v>
      </c>
      <c r="O381">
        <v>7</v>
      </c>
    </row>
    <row r="382" spans="1:15" x14ac:dyDescent="0.3">
      <c r="A382">
        <v>381</v>
      </c>
      <c r="B382" t="s">
        <v>301</v>
      </c>
      <c r="C382" t="s">
        <v>574</v>
      </c>
      <c r="D382" t="s">
        <v>31</v>
      </c>
      <c r="E382" s="1">
        <v>43468</v>
      </c>
      <c r="F382" s="2">
        <f ca="1">DATEDIF(EmpTable[[#This Row],[Start Date]],TODAY(),"Y")</f>
        <v>7</v>
      </c>
      <c r="G382" t="s">
        <v>34</v>
      </c>
      <c r="H382" t="s">
        <v>17</v>
      </c>
      <c r="I382" t="s">
        <v>59</v>
      </c>
      <c r="J382">
        <v>2263</v>
      </c>
      <c r="K382">
        <v>27156</v>
      </c>
      <c r="L382">
        <v>4.5</v>
      </c>
      <c r="M382">
        <v>0</v>
      </c>
      <c r="N382">
        <v>0</v>
      </c>
      <c r="O382">
        <v>8</v>
      </c>
    </row>
    <row r="383" spans="1:15" x14ac:dyDescent="0.3">
      <c r="A383">
        <v>382</v>
      </c>
      <c r="B383" t="s">
        <v>58</v>
      </c>
      <c r="C383" t="s">
        <v>575</v>
      </c>
      <c r="D383" t="s">
        <v>306</v>
      </c>
      <c r="E383" s="1">
        <v>43704</v>
      </c>
      <c r="F383" s="2">
        <f ca="1">DATEDIF(EmpTable[[#This Row],[Start Date]],TODAY(),"Y")</f>
        <v>6</v>
      </c>
      <c r="G383" t="s">
        <v>16</v>
      </c>
      <c r="H383" t="s">
        <v>28</v>
      </c>
      <c r="I383" t="s">
        <v>897</v>
      </c>
      <c r="J383">
        <v>2136</v>
      </c>
      <c r="K383">
        <v>25632</v>
      </c>
      <c r="L383">
        <v>5</v>
      </c>
      <c r="M383">
        <v>4</v>
      </c>
      <c r="N383">
        <v>0</v>
      </c>
      <c r="O383">
        <v>12</v>
      </c>
    </row>
    <row r="384" spans="1:15" x14ac:dyDescent="0.3">
      <c r="A384">
        <v>383</v>
      </c>
      <c r="B384" t="s">
        <v>48</v>
      </c>
      <c r="C384" t="s">
        <v>576</v>
      </c>
      <c r="D384" t="s">
        <v>31</v>
      </c>
      <c r="E384" s="1">
        <v>42940</v>
      </c>
      <c r="F384" s="2">
        <f ca="1">DATEDIF(EmpTable[[#This Row],[Start Date]],TODAY(),"Y")</f>
        <v>8</v>
      </c>
      <c r="G384" t="s">
        <v>27</v>
      </c>
      <c r="H384" t="s">
        <v>17</v>
      </c>
      <c r="I384" t="s">
        <v>41</v>
      </c>
      <c r="J384">
        <v>2379</v>
      </c>
      <c r="K384">
        <v>28548</v>
      </c>
      <c r="L384">
        <v>4.5</v>
      </c>
      <c r="M384">
        <v>1</v>
      </c>
      <c r="N384">
        <v>0</v>
      </c>
      <c r="O384">
        <v>10</v>
      </c>
    </row>
    <row r="385" spans="1:15" x14ac:dyDescent="0.3">
      <c r="A385">
        <v>384</v>
      </c>
      <c r="B385" t="s">
        <v>577</v>
      </c>
      <c r="C385" t="s">
        <v>578</v>
      </c>
      <c r="D385" t="s">
        <v>306</v>
      </c>
      <c r="E385" s="1">
        <v>44036</v>
      </c>
      <c r="F385" s="2">
        <f ca="1">DATEDIF(EmpTable[[#This Row],[Start Date]],TODAY(),"Y")</f>
        <v>5</v>
      </c>
      <c r="G385" t="s">
        <v>40</v>
      </c>
      <c r="H385" t="s">
        <v>17</v>
      </c>
      <c r="I385" t="s">
        <v>35</v>
      </c>
      <c r="J385">
        <v>1940</v>
      </c>
      <c r="K385">
        <v>23280</v>
      </c>
      <c r="L385">
        <v>3</v>
      </c>
      <c r="M385">
        <v>4</v>
      </c>
      <c r="N385">
        <v>6</v>
      </c>
      <c r="O385">
        <v>5</v>
      </c>
    </row>
    <row r="386" spans="1:15" x14ac:dyDescent="0.3">
      <c r="A386">
        <v>385</v>
      </c>
      <c r="B386" t="s">
        <v>356</v>
      </c>
      <c r="C386" t="s">
        <v>579</v>
      </c>
      <c r="D386" t="s">
        <v>31</v>
      </c>
      <c r="E386" s="1">
        <v>43603</v>
      </c>
      <c r="F386" s="2">
        <f ca="1">DATEDIF(EmpTable[[#This Row],[Start Date]],TODAY(),"Y")</f>
        <v>6</v>
      </c>
      <c r="G386" t="s">
        <v>52</v>
      </c>
      <c r="H386" t="s">
        <v>17</v>
      </c>
      <c r="I386" t="s">
        <v>41</v>
      </c>
      <c r="J386">
        <v>1558</v>
      </c>
      <c r="K386">
        <v>18696</v>
      </c>
      <c r="L386">
        <v>2</v>
      </c>
      <c r="M386">
        <v>0</v>
      </c>
      <c r="N386">
        <v>6</v>
      </c>
      <c r="O386">
        <v>9</v>
      </c>
    </row>
    <row r="387" spans="1:15" x14ac:dyDescent="0.3">
      <c r="A387">
        <v>386</v>
      </c>
      <c r="B387" t="s">
        <v>29</v>
      </c>
      <c r="C387" t="s">
        <v>580</v>
      </c>
      <c r="D387" t="s">
        <v>31</v>
      </c>
      <c r="E387" s="1">
        <v>43563</v>
      </c>
      <c r="F387" s="2">
        <f ca="1">DATEDIF(EmpTable[[#This Row],[Start Date]],TODAY(),"Y")</f>
        <v>6</v>
      </c>
      <c r="G387" t="s">
        <v>49</v>
      </c>
      <c r="H387" t="s">
        <v>17</v>
      </c>
      <c r="I387" t="s">
        <v>35</v>
      </c>
      <c r="J387">
        <v>1341</v>
      </c>
      <c r="K387">
        <v>16092</v>
      </c>
      <c r="L387">
        <v>5</v>
      </c>
      <c r="M387">
        <v>3</v>
      </c>
      <c r="N387">
        <v>0</v>
      </c>
      <c r="O387">
        <v>8</v>
      </c>
    </row>
    <row r="388" spans="1:15" x14ac:dyDescent="0.3">
      <c r="A388">
        <v>387</v>
      </c>
      <c r="B388" t="s">
        <v>581</v>
      </c>
      <c r="C388" t="s">
        <v>79</v>
      </c>
      <c r="D388" t="s">
        <v>31</v>
      </c>
      <c r="E388" s="1">
        <v>43566</v>
      </c>
      <c r="F388" s="2">
        <f ca="1">DATEDIF(EmpTable[[#This Row],[Start Date]],TODAY(),"Y")</f>
        <v>6</v>
      </c>
      <c r="G388" t="s">
        <v>27</v>
      </c>
      <c r="H388" t="s">
        <v>17</v>
      </c>
      <c r="I388" t="s">
        <v>41</v>
      </c>
      <c r="J388">
        <v>1703</v>
      </c>
      <c r="K388">
        <v>20436</v>
      </c>
      <c r="L388">
        <v>5</v>
      </c>
      <c r="M388">
        <v>2</v>
      </c>
      <c r="N388">
        <v>0</v>
      </c>
      <c r="O388">
        <v>10</v>
      </c>
    </row>
    <row r="389" spans="1:15" x14ac:dyDescent="0.3">
      <c r="A389">
        <v>388</v>
      </c>
      <c r="B389" t="s">
        <v>194</v>
      </c>
      <c r="C389" t="s">
        <v>582</v>
      </c>
      <c r="D389" t="s">
        <v>31</v>
      </c>
      <c r="E389" s="1">
        <v>44032</v>
      </c>
      <c r="F389" s="2">
        <f ca="1">DATEDIF(EmpTable[[#This Row],[Start Date]],TODAY(),"Y")</f>
        <v>5</v>
      </c>
      <c r="G389" t="s">
        <v>87</v>
      </c>
      <c r="H389" t="s">
        <v>17</v>
      </c>
      <c r="I389" t="s">
        <v>35</v>
      </c>
      <c r="J389">
        <v>3282</v>
      </c>
      <c r="K389">
        <v>39384</v>
      </c>
      <c r="L389">
        <v>1</v>
      </c>
      <c r="M389">
        <v>0</v>
      </c>
      <c r="N389">
        <v>0</v>
      </c>
      <c r="O389">
        <v>2</v>
      </c>
    </row>
    <row r="390" spans="1:15" x14ac:dyDescent="0.3">
      <c r="A390">
        <v>389</v>
      </c>
      <c r="B390" t="s">
        <v>32</v>
      </c>
      <c r="C390" t="s">
        <v>289</v>
      </c>
      <c r="D390" t="s">
        <v>31</v>
      </c>
      <c r="E390" s="1">
        <v>43895</v>
      </c>
      <c r="F390" s="2">
        <f ca="1">DATEDIF(EmpTable[[#This Row],[Start Date]],TODAY(),"Y")</f>
        <v>5</v>
      </c>
      <c r="G390" t="s">
        <v>38</v>
      </c>
      <c r="H390" t="s">
        <v>17</v>
      </c>
      <c r="I390" t="s">
        <v>18</v>
      </c>
      <c r="J390">
        <v>3125</v>
      </c>
      <c r="K390">
        <v>37500</v>
      </c>
      <c r="L390">
        <v>2</v>
      </c>
      <c r="M390">
        <v>6</v>
      </c>
      <c r="N390">
        <v>3</v>
      </c>
      <c r="O390">
        <v>0</v>
      </c>
    </row>
    <row r="391" spans="1:15" x14ac:dyDescent="0.3">
      <c r="A391">
        <v>390</v>
      </c>
      <c r="B391" t="s">
        <v>190</v>
      </c>
      <c r="C391" t="s">
        <v>460</v>
      </c>
      <c r="D391" t="s">
        <v>306</v>
      </c>
      <c r="E391" s="1">
        <v>43958</v>
      </c>
      <c r="F391" s="2">
        <f ca="1">DATEDIF(EmpTable[[#This Row],[Start Date]],TODAY(),"Y")</f>
        <v>5</v>
      </c>
      <c r="G391" t="s">
        <v>40</v>
      </c>
      <c r="H391" t="s">
        <v>28</v>
      </c>
      <c r="I391" t="s">
        <v>18</v>
      </c>
      <c r="J391">
        <v>2232</v>
      </c>
      <c r="K391">
        <v>26784</v>
      </c>
      <c r="L391">
        <v>4.5</v>
      </c>
      <c r="M391">
        <v>0</v>
      </c>
      <c r="N391">
        <v>0</v>
      </c>
      <c r="O391">
        <v>7</v>
      </c>
    </row>
    <row r="392" spans="1:15" x14ac:dyDescent="0.3">
      <c r="A392">
        <v>391</v>
      </c>
      <c r="B392" t="s">
        <v>196</v>
      </c>
      <c r="C392" t="s">
        <v>583</v>
      </c>
      <c r="D392" t="s">
        <v>31</v>
      </c>
      <c r="E392" s="1">
        <v>42823</v>
      </c>
      <c r="F392" s="2">
        <f ca="1">DATEDIF(EmpTable[[#This Row],[Start Date]],TODAY(),"Y")</f>
        <v>8</v>
      </c>
      <c r="G392" t="s">
        <v>76</v>
      </c>
      <c r="H392" t="s">
        <v>47</v>
      </c>
      <c r="I392" t="s">
        <v>41</v>
      </c>
      <c r="J392">
        <v>2513</v>
      </c>
      <c r="K392">
        <v>30156</v>
      </c>
      <c r="L392">
        <v>4.5</v>
      </c>
      <c r="M392">
        <v>2</v>
      </c>
      <c r="N392">
        <v>0</v>
      </c>
      <c r="O392">
        <v>8</v>
      </c>
    </row>
    <row r="393" spans="1:15" x14ac:dyDescent="0.3">
      <c r="A393">
        <v>392</v>
      </c>
      <c r="B393" t="s">
        <v>584</v>
      </c>
      <c r="C393" t="s">
        <v>585</v>
      </c>
      <c r="D393" t="s">
        <v>31</v>
      </c>
      <c r="E393" s="1">
        <v>42788</v>
      </c>
      <c r="F393" s="2">
        <f ca="1">DATEDIF(EmpTable[[#This Row],[Start Date]],TODAY(),"Y")</f>
        <v>9</v>
      </c>
      <c r="G393" t="s">
        <v>52</v>
      </c>
      <c r="H393" t="s">
        <v>47</v>
      </c>
      <c r="I393" t="s">
        <v>59</v>
      </c>
      <c r="J393">
        <v>2818</v>
      </c>
      <c r="K393">
        <v>33816</v>
      </c>
      <c r="L393">
        <v>2</v>
      </c>
      <c r="M393">
        <v>4</v>
      </c>
      <c r="N393">
        <v>0</v>
      </c>
      <c r="O393">
        <v>8</v>
      </c>
    </row>
    <row r="394" spans="1:15" x14ac:dyDescent="0.3">
      <c r="A394">
        <v>393</v>
      </c>
      <c r="B394" t="s">
        <v>29</v>
      </c>
      <c r="C394" t="s">
        <v>325</v>
      </c>
      <c r="D394" t="s">
        <v>31</v>
      </c>
      <c r="E394" s="1">
        <v>43240</v>
      </c>
      <c r="F394" s="2">
        <f ca="1">DATEDIF(EmpTable[[#This Row],[Start Date]],TODAY(),"Y")</f>
        <v>7</v>
      </c>
      <c r="G394" t="s">
        <v>76</v>
      </c>
      <c r="H394" t="s">
        <v>17</v>
      </c>
      <c r="I394" t="s">
        <v>35</v>
      </c>
      <c r="J394">
        <v>2257</v>
      </c>
      <c r="K394">
        <v>27084</v>
      </c>
      <c r="L394">
        <v>3</v>
      </c>
      <c r="M394">
        <v>0</v>
      </c>
      <c r="N394">
        <v>0</v>
      </c>
      <c r="O394">
        <v>6</v>
      </c>
    </row>
    <row r="395" spans="1:15" x14ac:dyDescent="0.3">
      <c r="A395">
        <v>394</v>
      </c>
      <c r="B395" t="s">
        <v>356</v>
      </c>
      <c r="C395" t="s">
        <v>586</v>
      </c>
      <c r="D395" t="s">
        <v>31</v>
      </c>
      <c r="E395" s="1">
        <v>43944</v>
      </c>
      <c r="F395" s="2">
        <f ca="1">DATEDIF(EmpTable[[#This Row],[Start Date]],TODAY(),"Y")</f>
        <v>5</v>
      </c>
      <c r="G395" t="s">
        <v>40</v>
      </c>
      <c r="H395" t="s">
        <v>17</v>
      </c>
      <c r="I395" t="s">
        <v>41</v>
      </c>
      <c r="J395">
        <v>1265</v>
      </c>
      <c r="K395">
        <v>15180</v>
      </c>
      <c r="L395">
        <v>3</v>
      </c>
      <c r="M395">
        <v>0</v>
      </c>
      <c r="N395">
        <v>0</v>
      </c>
      <c r="O395">
        <v>5</v>
      </c>
    </row>
    <row r="396" spans="1:15" x14ac:dyDescent="0.3">
      <c r="A396">
        <v>395</v>
      </c>
      <c r="B396" t="s">
        <v>587</v>
      </c>
      <c r="C396" t="s">
        <v>588</v>
      </c>
      <c r="D396" t="s">
        <v>31</v>
      </c>
      <c r="E396" s="1">
        <v>44130</v>
      </c>
      <c r="F396" s="2">
        <f ca="1">DATEDIF(EmpTable[[#This Row],[Start Date]],TODAY(),"Y")</f>
        <v>5</v>
      </c>
      <c r="G396" t="s">
        <v>72</v>
      </c>
      <c r="H396" t="s">
        <v>28</v>
      </c>
      <c r="I396" t="s">
        <v>41</v>
      </c>
      <c r="J396">
        <v>2207</v>
      </c>
      <c r="K396">
        <v>26484</v>
      </c>
      <c r="L396">
        <v>3</v>
      </c>
      <c r="M396">
        <v>2</v>
      </c>
      <c r="N396">
        <v>0</v>
      </c>
      <c r="O396">
        <v>0</v>
      </c>
    </row>
    <row r="397" spans="1:15" x14ac:dyDescent="0.3">
      <c r="A397">
        <v>396</v>
      </c>
      <c r="B397" t="s">
        <v>32</v>
      </c>
      <c r="C397" t="s">
        <v>589</v>
      </c>
      <c r="D397" t="s">
        <v>31</v>
      </c>
      <c r="E397" s="1">
        <v>43500</v>
      </c>
      <c r="F397" s="2">
        <f ca="1">DATEDIF(EmpTable[[#This Row],[Start Date]],TODAY(),"Y")</f>
        <v>7</v>
      </c>
      <c r="G397" t="s">
        <v>57</v>
      </c>
      <c r="H397" t="s">
        <v>17</v>
      </c>
      <c r="I397" t="s">
        <v>35</v>
      </c>
      <c r="J397">
        <v>2806</v>
      </c>
      <c r="K397">
        <v>33672</v>
      </c>
      <c r="L397">
        <v>3</v>
      </c>
      <c r="M397">
        <v>0</v>
      </c>
      <c r="N397">
        <v>0</v>
      </c>
      <c r="O397">
        <v>4</v>
      </c>
    </row>
    <row r="398" spans="1:15" x14ac:dyDescent="0.3">
      <c r="A398">
        <v>397</v>
      </c>
      <c r="B398" t="s">
        <v>164</v>
      </c>
      <c r="C398" t="s">
        <v>278</v>
      </c>
      <c r="D398" t="s">
        <v>31</v>
      </c>
      <c r="E398" s="1">
        <v>42781</v>
      </c>
      <c r="F398" s="2">
        <f ca="1">DATEDIF(EmpTable[[#This Row],[Start Date]],TODAY(),"Y")</f>
        <v>9</v>
      </c>
      <c r="G398" t="s">
        <v>162</v>
      </c>
      <c r="H398" t="s">
        <v>28</v>
      </c>
      <c r="I398" t="s">
        <v>59</v>
      </c>
      <c r="J398">
        <v>1521</v>
      </c>
      <c r="K398">
        <v>18252</v>
      </c>
      <c r="L398">
        <v>5</v>
      </c>
      <c r="M398">
        <v>6</v>
      </c>
      <c r="N398">
        <v>0</v>
      </c>
      <c r="O398">
        <v>3</v>
      </c>
    </row>
    <row r="399" spans="1:15" x14ac:dyDescent="0.3">
      <c r="A399">
        <v>398</v>
      </c>
      <c r="B399" t="s">
        <v>32</v>
      </c>
      <c r="C399" t="s">
        <v>590</v>
      </c>
      <c r="D399" t="s">
        <v>31</v>
      </c>
      <c r="E399" s="1">
        <v>43197</v>
      </c>
      <c r="F399" s="2">
        <f ca="1">DATEDIF(EmpTable[[#This Row],[Start Date]],TODAY(),"Y")</f>
        <v>7</v>
      </c>
      <c r="G399" t="s">
        <v>52</v>
      </c>
      <c r="H399" t="s">
        <v>17</v>
      </c>
      <c r="I399" t="s">
        <v>59</v>
      </c>
      <c r="J399">
        <v>1867</v>
      </c>
      <c r="K399">
        <v>22404</v>
      </c>
      <c r="L399">
        <v>3</v>
      </c>
      <c r="M399">
        <v>0</v>
      </c>
      <c r="N399">
        <v>0</v>
      </c>
      <c r="O399">
        <v>0</v>
      </c>
    </row>
    <row r="400" spans="1:15" x14ac:dyDescent="0.3">
      <c r="A400">
        <v>399</v>
      </c>
      <c r="B400" t="s">
        <v>591</v>
      </c>
      <c r="C400" t="s">
        <v>592</v>
      </c>
      <c r="D400" t="s">
        <v>306</v>
      </c>
      <c r="E400" s="1">
        <v>43444</v>
      </c>
      <c r="F400" s="2">
        <f ca="1">DATEDIF(EmpTable[[#This Row],[Start Date]],TODAY(),"Y")</f>
        <v>7</v>
      </c>
      <c r="G400" t="s">
        <v>16</v>
      </c>
      <c r="H400" t="s">
        <v>21</v>
      </c>
      <c r="I400" t="s">
        <v>35</v>
      </c>
      <c r="J400">
        <v>2425</v>
      </c>
      <c r="K400">
        <v>29100</v>
      </c>
      <c r="L400">
        <v>5</v>
      </c>
      <c r="M400">
        <v>0</v>
      </c>
      <c r="N400">
        <v>0</v>
      </c>
      <c r="O400">
        <v>10</v>
      </c>
    </row>
    <row r="401" spans="1:15" x14ac:dyDescent="0.3">
      <c r="A401">
        <v>400</v>
      </c>
      <c r="B401" t="s">
        <v>387</v>
      </c>
      <c r="C401" t="s">
        <v>593</v>
      </c>
      <c r="D401" t="s">
        <v>31</v>
      </c>
      <c r="E401" s="1">
        <v>44179</v>
      </c>
      <c r="F401" s="2">
        <f ca="1">DATEDIF(EmpTable[[#This Row],[Start Date]],TODAY(),"Y")</f>
        <v>5</v>
      </c>
      <c r="G401" t="s">
        <v>57</v>
      </c>
      <c r="H401" t="s">
        <v>21</v>
      </c>
      <c r="I401" t="s">
        <v>41</v>
      </c>
      <c r="J401">
        <v>1758</v>
      </c>
      <c r="K401">
        <v>21096</v>
      </c>
      <c r="L401">
        <v>5</v>
      </c>
      <c r="M401">
        <v>0</v>
      </c>
      <c r="N401">
        <v>0</v>
      </c>
      <c r="O401">
        <v>0</v>
      </c>
    </row>
    <row r="402" spans="1:15" x14ac:dyDescent="0.3">
      <c r="A402">
        <v>401</v>
      </c>
      <c r="B402" t="s">
        <v>32</v>
      </c>
      <c r="C402" t="s">
        <v>499</v>
      </c>
      <c r="D402" t="s">
        <v>31</v>
      </c>
      <c r="E402" s="1">
        <v>44191</v>
      </c>
      <c r="F402" s="2">
        <f ca="1">DATEDIF(EmpTable[[#This Row],[Start Date]],TODAY(),"Y")</f>
        <v>5</v>
      </c>
      <c r="G402" t="s">
        <v>27</v>
      </c>
      <c r="H402" t="s">
        <v>47</v>
      </c>
      <c r="I402" t="s">
        <v>897</v>
      </c>
      <c r="J402">
        <v>2832</v>
      </c>
      <c r="K402">
        <v>33984</v>
      </c>
      <c r="L402">
        <v>3</v>
      </c>
      <c r="M402">
        <v>0</v>
      </c>
      <c r="N402">
        <v>0</v>
      </c>
      <c r="O402">
        <v>1</v>
      </c>
    </row>
    <row r="403" spans="1:15" x14ac:dyDescent="0.3">
      <c r="A403">
        <v>402</v>
      </c>
      <c r="B403" t="s">
        <v>594</v>
      </c>
      <c r="C403" t="s">
        <v>595</v>
      </c>
      <c r="D403" t="s">
        <v>306</v>
      </c>
      <c r="E403" s="1">
        <v>42879</v>
      </c>
      <c r="F403" s="2">
        <f ca="1">DATEDIF(EmpTable[[#This Row],[Start Date]],TODAY(),"Y")</f>
        <v>8</v>
      </c>
      <c r="G403" t="s">
        <v>57</v>
      </c>
      <c r="H403" t="s">
        <v>17</v>
      </c>
      <c r="I403" t="s">
        <v>35</v>
      </c>
      <c r="J403">
        <v>1371</v>
      </c>
      <c r="K403">
        <v>16452</v>
      </c>
      <c r="L403">
        <v>1</v>
      </c>
      <c r="M403">
        <v>1</v>
      </c>
      <c r="N403">
        <v>0</v>
      </c>
      <c r="O403">
        <v>8</v>
      </c>
    </row>
    <row r="404" spans="1:15" x14ac:dyDescent="0.3">
      <c r="A404">
        <v>403</v>
      </c>
      <c r="B404" t="s">
        <v>32</v>
      </c>
      <c r="C404" t="s">
        <v>596</v>
      </c>
      <c r="D404" t="s">
        <v>31</v>
      </c>
      <c r="E404" s="1">
        <v>43461</v>
      </c>
      <c r="F404" s="2">
        <f ca="1">DATEDIF(EmpTable[[#This Row],[Start Date]],TODAY(),"Y")</f>
        <v>7</v>
      </c>
      <c r="G404" t="s">
        <v>57</v>
      </c>
      <c r="H404" t="s">
        <v>17</v>
      </c>
      <c r="I404" t="s">
        <v>897</v>
      </c>
      <c r="J404">
        <v>2904</v>
      </c>
      <c r="K404">
        <v>34848</v>
      </c>
      <c r="L404">
        <v>5</v>
      </c>
      <c r="M404">
        <v>6</v>
      </c>
      <c r="N404">
        <v>0</v>
      </c>
      <c r="O404">
        <v>3</v>
      </c>
    </row>
    <row r="405" spans="1:15" x14ac:dyDescent="0.3">
      <c r="A405">
        <v>404</v>
      </c>
      <c r="B405" t="s">
        <v>309</v>
      </c>
      <c r="C405" t="s">
        <v>597</v>
      </c>
      <c r="D405" t="s">
        <v>306</v>
      </c>
      <c r="E405" s="1">
        <v>43512</v>
      </c>
      <c r="F405" s="2">
        <f ca="1">DATEDIF(EmpTable[[#This Row],[Start Date]],TODAY(),"Y")</f>
        <v>7</v>
      </c>
      <c r="G405" t="s">
        <v>34</v>
      </c>
      <c r="H405" t="s">
        <v>293</v>
      </c>
      <c r="I405" t="s">
        <v>41</v>
      </c>
      <c r="J405">
        <v>3285</v>
      </c>
      <c r="K405">
        <v>39420</v>
      </c>
      <c r="L405">
        <v>3</v>
      </c>
      <c r="M405">
        <v>2</v>
      </c>
      <c r="N405">
        <v>0</v>
      </c>
      <c r="O405">
        <v>0</v>
      </c>
    </row>
    <row r="406" spans="1:15" x14ac:dyDescent="0.3">
      <c r="A406">
        <v>405</v>
      </c>
      <c r="B406" t="s">
        <v>598</v>
      </c>
      <c r="C406" t="s">
        <v>599</v>
      </c>
      <c r="D406" t="s">
        <v>31</v>
      </c>
      <c r="E406" s="1">
        <v>43290</v>
      </c>
      <c r="F406" s="2">
        <f ca="1">DATEDIF(EmpTable[[#This Row],[Start Date]],TODAY(),"Y")</f>
        <v>7</v>
      </c>
      <c r="G406" t="s">
        <v>52</v>
      </c>
      <c r="H406" t="s">
        <v>17</v>
      </c>
      <c r="I406" t="s">
        <v>18</v>
      </c>
      <c r="J406">
        <v>2964</v>
      </c>
      <c r="K406">
        <v>35568</v>
      </c>
      <c r="L406">
        <v>5</v>
      </c>
      <c r="M406">
        <v>2</v>
      </c>
      <c r="N406">
        <v>0</v>
      </c>
      <c r="O406">
        <v>45</v>
      </c>
    </row>
    <row r="407" spans="1:15" x14ac:dyDescent="0.3">
      <c r="A407">
        <v>406</v>
      </c>
      <c r="B407" t="s">
        <v>600</v>
      </c>
      <c r="C407" t="s">
        <v>601</v>
      </c>
      <c r="D407" t="s">
        <v>306</v>
      </c>
      <c r="E407" s="1">
        <v>43195</v>
      </c>
      <c r="F407" s="2">
        <f ca="1">DATEDIF(EmpTable[[#This Row],[Start Date]],TODAY(),"Y")</f>
        <v>7</v>
      </c>
      <c r="G407" t="s">
        <v>40</v>
      </c>
      <c r="H407" t="s">
        <v>28</v>
      </c>
      <c r="I407" t="s">
        <v>35</v>
      </c>
      <c r="J407">
        <v>974</v>
      </c>
      <c r="K407">
        <v>11688</v>
      </c>
      <c r="L407">
        <v>2</v>
      </c>
      <c r="M407">
        <v>5</v>
      </c>
      <c r="N407">
        <v>0</v>
      </c>
      <c r="O407">
        <v>5</v>
      </c>
    </row>
    <row r="408" spans="1:15" x14ac:dyDescent="0.3">
      <c r="A408">
        <v>407</v>
      </c>
      <c r="B408" t="s">
        <v>602</v>
      </c>
      <c r="C408" t="s">
        <v>603</v>
      </c>
      <c r="D408" t="s">
        <v>306</v>
      </c>
      <c r="E408" s="1">
        <v>43579</v>
      </c>
      <c r="F408" s="2">
        <f ca="1">DATEDIF(EmpTable[[#This Row],[Start Date]],TODAY(),"Y")</f>
        <v>6</v>
      </c>
      <c r="G408" t="s">
        <v>40</v>
      </c>
      <c r="H408" t="s">
        <v>21</v>
      </c>
      <c r="I408" t="s">
        <v>897</v>
      </c>
      <c r="J408">
        <v>2607</v>
      </c>
      <c r="K408">
        <v>31284</v>
      </c>
      <c r="L408">
        <v>4.5</v>
      </c>
      <c r="M408">
        <v>0</v>
      </c>
      <c r="N408">
        <v>0</v>
      </c>
      <c r="O408">
        <v>9</v>
      </c>
    </row>
    <row r="409" spans="1:15" x14ac:dyDescent="0.3">
      <c r="A409">
        <v>408</v>
      </c>
      <c r="B409" t="s">
        <v>604</v>
      </c>
      <c r="C409" t="s">
        <v>310</v>
      </c>
      <c r="D409" t="s">
        <v>306</v>
      </c>
      <c r="E409" s="1">
        <v>42998</v>
      </c>
      <c r="F409" s="2">
        <f ca="1">DATEDIF(EmpTable[[#This Row],[Start Date]],TODAY(),"Y")</f>
        <v>8</v>
      </c>
      <c r="G409" t="s">
        <v>16</v>
      </c>
      <c r="H409" t="s">
        <v>17</v>
      </c>
      <c r="I409" t="s">
        <v>41</v>
      </c>
      <c r="J409">
        <v>1550</v>
      </c>
      <c r="K409">
        <v>18600</v>
      </c>
      <c r="L409">
        <v>1</v>
      </c>
      <c r="M409">
        <v>0</v>
      </c>
      <c r="N409">
        <v>0</v>
      </c>
      <c r="O409">
        <v>3</v>
      </c>
    </row>
    <row r="410" spans="1:15" x14ac:dyDescent="0.3">
      <c r="A410">
        <v>409</v>
      </c>
      <c r="B410" t="s">
        <v>605</v>
      </c>
      <c r="C410" t="s">
        <v>606</v>
      </c>
      <c r="D410" t="s">
        <v>306</v>
      </c>
      <c r="E410" s="1">
        <v>42574</v>
      </c>
      <c r="F410" s="2">
        <f ca="1">DATEDIF(EmpTable[[#This Row],[Start Date]],TODAY(),"Y")</f>
        <v>9</v>
      </c>
      <c r="G410" t="s">
        <v>38</v>
      </c>
      <c r="H410" t="s">
        <v>17</v>
      </c>
      <c r="I410" t="s">
        <v>41</v>
      </c>
      <c r="J410">
        <v>1631</v>
      </c>
      <c r="K410">
        <v>19572</v>
      </c>
      <c r="L410">
        <v>4.5</v>
      </c>
      <c r="M410">
        <v>0</v>
      </c>
      <c r="N410">
        <v>0</v>
      </c>
      <c r="O410">
        <v>4</v>
      </c>
    </row>
    <row r="411" spans="1:15" x14ac:dyDescent="0.3">
      <c r="A411">
        <v>410</v>
      </c>
      <c r="B411" t="s">
        <v>233</v>
      </c>
      <c r="C411" t="s">
        <v>607</v>
      </c>
      <c r="D411" t="s">
        <v>31</v>
      </c>
      <c r="E411" s="1">
        <v>43506</v>
      </c>
      <c r="F411" s="2">
        <f ca="1">DATEDIF(EmpTable[[#This Row],[Start Date]],TODAY(),"Y")</f>
        <v>7</v>
      </c>
      <c r="G411" t="s">
        <v>57</v>
      </c>
      <c r="H411" t="s">
        <v>17</v>
      </c>
      <c r="I411" t="s">
        <v>897</v>
      </c>
      <c r="J411">
        <v>3003</v>
      </c>
      <c r="K411">
        <v>36036</v>
      </c>
      <c r="L411">
        <v>1</v>
      </c>
      <c r="M411">
        <v>6</v>
      </c>
      <c r="N411">
        <v>1</v>
      </c>
      <c r="O411">
        <v>6</v>
      </c>
    </row>
    <row r="412" spans="1:15" x14ac:dyDescent="0.3">
      <c r="A412">
        <v>411</v>
      </c>
      <c r="B412" t="s">
        <v>608</v>
      </c>
      <c r="C412" t="s">
        <v>32</v>
      </c>
      <c r="D412" t="s">
        <v>31</v>
      </c>
      <c r="E412" s="1">
        <v>43800</v>
      </c>
      <c r="F412" s="2">
        <f ca="1">DATEDIF(EmpTable[[#This Row],[Start Date]],TODAY(),"Y")</f>
        <v>6</v>
      </c>
      <c r="G412" t="s">
        <v>27</v>
      </c>
      <c r="H412" t="s">
        <v>17</v>
      </c>
      <c r="I412" t="s">
        <v>18</v>
      </c>
      <c r="J412">
        <v>913</v>
      </c>
      <c r="K412">
        <v>10956</v>
      </c>
      <c r="L412">
        <v>5</v>
      </c>
      <c r="M412">
        <v>0</v>
      </c>
      <c r="N412">
        <v>0</v>
      </c>
      <c r="O412">
        <v>12</v>
      </c>
    </row>
    <row r="413" spans="1:15" x14ac:dyDescent="0.3">
      <c r="A413">
        <v>412</v>
      </c>
      <c r="B413" t="s">
        <v>68</v>
      </c>
      <c r="C413" t="s">
        <v>609</v>
      </c>
      <c r="D413" t="s">
        <v>31</v>
      </c>
      <c r="E413" s="1">
        <v>42934</v>
      </c>
      <c r="F413" s="2">
        <f ca="1">DATEDIF(EmpTable[[#This Row],[Start Date]],TODAY(),"Y")</f>
        <v>8</v>
      </c>
      <c r="G413" t="s">
        <v>52</v>
      </c>
      <c r="H413" t="s">
        <v>17</v>
      </c>
      <c r="I413" t="s">
        <v>59</v>
      </c>
      <c r="J413">
        <v>2076</v>
      </c>
      <c r="K413">
        <v>24912</v>
      </c>
      <c r="L413">
        <v>3</v>
      </c>
      <c r="M413">
        <v>0</v>
      </c>
      <c r="N413">
        <v>0</v>
      </c>
      <c r="O413">
        <v>4</v>
      </c>
    </row>
    <row r="414" spans="1:15" x14ac:dyDescent="0.3">
      <c r="A414">
        <v>413</v>
      </c>
      <c r="B414" t="s">
        <v>58</v>
      </c>
      <c r="C414" t="s">
        <v>610</v>
      </c>
      <c r="D414" t="s">
        <v>306</v>
      </c>
      <c r="E414" s="1">
        <v>44008</v>
      </c>
      <c r="F414" s="2">
        <f ca="1">DATEDIF(EmpTable[[#This Row],[Start Date]],TODAY(),"Y")</f>
        <v>5</v>
      </c>
      <c r="G414" t="s">
        <v>52</v>
      </c>
      <c r="H414" t="s">
        <v>17</v>
      </c>
      <c r="I414" t="s">
        <v>18</v>
      </c>
      <c r="J414">
        <v>2749</v>
      </c>
      <c r="K414">
        <v>32988</v>
      </c>
      <c r="L414">
        <v>3</v>
      </c>
      <c r="M414">
        <v>5</v>
      </c>
      <c r="N414">
        <v>4</v>
      </c>
      <c r="O414">
        <v>0</v>
      </c>
    </row>
    <row r="415" spans="1:15" x14ac:dyDescent="0.3">
      <c r="A415">
        <v>414</v>
      </c>
      <c r="B415" t="s">
        <v>611</v>
      </c>
      <c r="C415" t="s">
        <v>612</v>
      </c>
      <c r="D415" t="s">
        <v>306</v>
      </c>
      <c r="E415" s="1">
        <v>43490</v>
      </c>
      <c r="F415" s="2">
        <f ca="1">DATEDIF(EmpTable[[#This Row],[Start Date]],TODAY(),"Y")</f>
        <v>7</v>
      </c>
      <c r="G415" t="s">
        <v>49</v>
      </c>
      <c r="H415" t="s">
        <v>21</v>
      </c>
      <c r="I415" t="s">
        <v>18</v>
      </c>
      <c r="J415">
        <v>2617</v>
      </c>
      <c r="K415">
        <v>31404</v>
      </c>
      <c r="L415">
        <v>4.5</v>
      </c>
      <c r="M415">
        <v>1</v>
      </c>
      <c r="N415">
        <v>0</v>
      </c>
      <c r="O415">
        <v>5</v>
      </c>
    </row>
    <row r="416" spans="1:15" x14ac:dyDescent="0.3">
      <c r="A416">
        <v>415</v>
      </c>
      <c r="B416" t="s">
        <v>185</v>
      </c>
      <c r="C416" t="s">
        <v>613</v>
      </c>
      <c r="D416" t="s">
        <v>31</v>
      </c>
      <c r="E416" s="1">
        <v>43697</v>
      </c>
      <c r="F416" s="2">
        <f ca="1">DATEDIF(EmpTable[[#This Row],[Start Date]],TODAY(),"Y")</f>
        <v>6</v>
      </c>
      <c r="G416" t="s">
        <v>49</v>
      </c>
      <c r="H416" t="s">
        <v>28</v>
      </c>
      <c r="I416" t="s">
        <v>35</v>
      </c>
      <c r="J416">
        <v>1680</v>
      </c>
      <c r="K416">
        <v>20160</v>
      </c>
      <c r="L416">
        <v>5</v>
      </c>
      <c r="M416">
        <v>1</v>
      </c>
      <c r="N416">
        <v>0</v>
      </c>
      <c r="O416">
        <v>35</v>
      </c>
    </row>
    <row r="417" spans="1:15" x14ac:dyDescent="0.3">
      <c r="A417">
        <v>416</v>
      </c>
      <c r="B417" t="s">
        <v>218</v>
      </c>
      <c r="C417" t="s">
        <v>327</v>
      </c>
      <c r="D417" t="s">
        <v>31</v>
      </c>
      <c r="E417" s="1">
        <v>43899</v>
      </c>
      <c r="F417" s="2">
        <f ca="1">DATEDIF(EmpTable[[#This Row],[Start Date]],TODAY(),"Y")</f>
        <v>5</v>
      </c>
      <c r="G417" t="s">
        <v>44</v>
      </c>
      <c r="H417" t="s">
        <v>17</v>
      </c>
      <c r="I417" t="s">
        <v>41</v>
      </c>
      <c r="J417">
        <v>2824</v>
      </c>
      <c r="K417">
        <v>33888</v>
      </c>
      <c r="L417">
        <v>3</v>
      </c>
      <c r="M417">
        <v>3</v>
      </c>
      <c r="N417">
        <v>0</v>
      </c>
      <c r="O417">
        <v>3</v>
      </c>
    </row>
    <row r="418" spans="1:15" x14ac:dyDescent="0.3">
      <c r="A418">
        <v>417</v>
      </c>
      <c r="B418" t="s">
        <v>614</v>
      </c>
      <c r="C418" t="s">
        <v>615</v>
      </c>
      <c r="D418" t="s">
        <v>306</v>
      </c>
      <c r="E418" s="1">
        <v>43004</v>
      </c>
      <c r="F418" s="2">
        <f ca="1">DATEDIF(EmpTable[[#This Row],[Start Date]],TODAY(),"Y")</f>
        <v>8</v>
      </c>
      <c r="G418" t="s">
        <v>34</v>
      </c>
      <c r="H418" t="s">
        <v>17</v>
      </c>
      <c r="I418" t="s">
        <v>18</v>
      </c>
      <c r="J418">
        <v>1646</v>
      </c>
      <c r="K418">
        <v>19752</v>
      </c>
      <c r="L418">
        <v>5</v>
      </c>
      <c r="M418">
        <v>0</v>
      </c>
      <c r="N418">
        <v>0</v>
      </c>
      <c r="O418">
        <v>7</v>
      </c>
    </row>
    <row r="419" spans="1:15" x14ac:dyDescent="0.3">
      <c r="A419">
        <v>418</v>
      </c>
      <c r="B419" t="s">
        <v>616</v>
      </c>
      <c r="C419" t="s">
        <v>617</v>
      </c>
      <c r="D419" t="s">
        <v>306</v>
      </c>
      <c r="E419" s="1">
        <v>43438</v>
      </c>
      <c r="F419" s="2">
        <f ca="1">DATEDIF(EmpTable[[#This Row],[Start Date]],TODAY(),"Y")</f>
        <v>7</v>
      </c>
      <c r="G419" t="s">
        <v>16</v>
      </c>
      <c r="H419" t="s">
        <v>17</v>
      </c>
      <c r="I419" t="s">
        <v>59</v>
      </c>
      <c r="J419">
        <v>979</v>
      </c>
      <c r="K419">
        <v>11748</v>
      </c>
      <c r="L419">
        <v>5</v>
      </c>
      <c r="M419">
        <v>5</v>
      </c>
      <c r="N419">
        <v>0</v>
      </c>
      <c r="O419">
        <v>8</v>
      </c>
    </row>
    <row r="420" spans="1:15" x14ac:dyDescent="0.3">
      <c r="A420">
        <v>419</v>
      </c>
      <c r="B420" t="s">
        <v>618</v>
      </c>
      <c r="C420" t="s">
        <v>619</v>
      </c>
      <c r="D420" t="s">
        <v>306</v>
      </c>
      <c r="E420" s="1">
        <v>43467</v>
      </c>
      <c r="F420" s="2">
        <f ca="1">DATEDIF(EmpTable[[#This Row],[Start Date]],TODAY(),"Y")</f>
        <v>7</v>
      </c>
      <c r="G420" t="s">
        <v>76</v>
      </c>
      <c r="H420" t="s">
        <v>47</v>
      </c>
      <c r="I420" t="s">
        <v>18</v>
      </c>
      <c r="J420">
        <v>1274</v>
      </c>
      <c r="K420">
        <v>15288</v>
      </c>
      <c r="L420">
        <v>3</v>
      </c>
      <c r="M420">
        <v>0</v>
      </c>
      <c r="N420">
        <v>0</v>
      </c>
      <c r="O420">
        <v>7</v>
      </c>
    </row>
    <row r="421" spans="1:15" x14ac:dyDescent="0.3">
      <c r="A421">
        <v>420</v>
      </c>
      <c r="B421" t="s">
        <v>425</v>
      </c>
      <c r="C421" t="s">
        <v>436</v>
      </c>
      <c r="D421" t="s">
        <v>306</v>
      </c>
      <c r="E421" s="1">
        <v>43765</v>
      </c>
      <c r="F421" s="2">
        <f ca="1">DATEDIF(EmpTable[[#This Row],[Start Date]],TODAY(),"Y")</f>
        <v>6</v>
      </c>
      <c r="G421" t="s">
        <v>52</v>
      </c>
      <c r="H421" t="s">
        <v>17</v>
      </c>
      <c r="I421" t="s">
        <v>35</v>
      </c>
      <c r="J421">
        <v>2715</v>
      </c>
      <c r="K421">
        <v>32580</v>
      </c>
      <c r="L421">
        <v>2</v>
      </c>
      <c r="M421">
        <v>0</v>
      </c>
      <c r="N421">
        <v>0</v>
      </c>
      <c r="O421">
        <v>3</v>
      </c>
    </row>
    <row r="422" spans="1:15" x14ac:dyDescent="0.3">
      <c r="A422">
        <v>421</v>
      </c>
      <c r="B422" t="s">
        <v>620</v>
      </c>
      <c r="C422" t="s">
        <v>621</v>
      </c>
      <c r="D422" t="s">
        <v>31</v>
      </c>
      <c r="E422" s="1">
        <v>43781</v>
      </c>
      <c r="F422" s="2">
        <f ca="1">DATEDIF(EmpTable[[#This Row],[Start Date]],TODAY(),"Y")</f>
        <v>6</v>
      </c>
      <c r="G422" t="s">
        <v>27</v>
      </c>
      <c r="H422" t="s">
        <v>47</v>
      </c>
      <c r="I422" t="s">
        <v>35</v>
      </c>
      <c r="J422">
        <v>1158</v>
      </c>
      <c r="K422">
        <v>13896</v>
      </c>
      <c r="L422">
        <v>5</v>
      </c>
      <c r="M422">
        <v>0</v>
      </c>
      <c r="N422">
        <v>0</v>
      </c>
      <c r="O422">
        <v>0</v>
      </c>
    </row>
    <row r="423" spans="1:15" x14ac:dyDescent="0.3">
      <c r="A423">
        <v>422</v>
      </c>
      <c r="B423" t="s">
        <v>222</v>
      </c>
      <c r="C423" t="s">
        <v>622</v>
      </c>
      <c r="D423" t="s">
        <v>31</v>
      </c>
      <c r="E423" s="1">
        <v>43314</v>
      </c>
      <c r="F423" s="2">
        <f ca="1">DATEDIF(EmpTable[[#This Row],[Start Date]],TODAY(),"Y")</f>
        <v>7</v>
      </c>
      <c r="G423" t="s">
        <v>57</v>
      </c>
      <c r="H423" t="s">
        <v>17</v>
      </c>
      <c r="I423" t="s">
        <v>897</v>
      </c>
      <c r="J423">
        <v>1986</v>
      </c>
      <c r="K423">
        <v>23832</v>
      </c>
      <c r="L423">
        <v>3</v>
      </c>
      <c r="M423">
        <v>1</v>
      </c>
      <c r="N423">
        <v>0</v>
      </c>
      <c r="O423">
        <v>14</v>
      </c>
    </row>
    <row r="424" spans="1:15" x14ac:dyDescent="0.3">
      <c r="A424">
        <v>423</v>
      </c>
      <c r="B424" t="s">
        <v>185</v>
      </c>
      <c r="C424" t="s">
        <v>623</v>
      </c>
      <c r="D424" t="s">
        <v>31</v>
      </c>
      <c r="E424" s="1">
        <v>43826</v>
      </c>
      <c r="F424" s="2">
        <f ca="1">DATEDIF(EmpTable[[#This Row],[Start Date]],TODAY(),"Y")</f>
        <v>6</v>
      </c>
      <c r="G424" t="s">
        <v>27</v>
      </c>
      <c r="H424" t="s">
        <v>21</v>
      </c>
      <c r="I424" t="s">
        <v>59</v>
      </c>
      <c r="J424">
        <v>3299</v>
      </c>
      <c r="K424">
        <v>39588</v>
      </c>
      <c r="L424">
        <v>5</v>
      </c>
      <c r="M424">
        <v>1</v>
      </c>
      <c r="N424">
        <v>0</v>
      </c>
      <c r="O424">
        <v>0</v>
      </c>
    </row>
    <row r="425" spans="1:15" x14ac:dyDescent="0.3">
      <c r="A425">
        <v>424</v>
      </c>
      <c r="B425" t="s">
        <v>65</v>
      </c>
      <c r="C425" t="s">
        <v>426</v>
      </c>
      <c r="D425" t="s">
        <v>31</v>
      </c>
      <c r="E425" s="1">
        <v>43062</v>
      </c>
      <c r="F425" s="2">
        <f ca="1">DATEDIF(EmpTable[[#This Row],[Start Date]],TODAY(),"Y")</f>
        <v>8</v>
      </c>
      <c r="G425" t="s">
        <v>16</v>
      </c>
      <c r="H425" t="s">
        <v>17</v>
      </c>
      <c r="I425" t="s">
        <v>41</v>
      </c>
      <c r="J425">
        <v>2405</v>
      </c>
      <c r="K425">
        <v>28860</v>
      </c>
      <c r="L425">
        <v>5</v>
      </c>
      <c r="M425">
        <v>0</v>
      </c>
      <c r="N425">
        <v>0</v>
      </c>
      <c r="O425">
        <v>97</v>
      </c>
    </row>
    <row r="426" spans="1:15" x14ac:dyDescent="0.3">
      <c r="A426">
        <v>425</v>
      </c>
      <c r="B426" t="s">
        <v>262</v>
      </c>
      <c r="C426" t="s">
        <v>624</v>
      </c>
      <c r="D426" t="s">
        <v>31</v>
      </c>
      <c r="E426" s="1">
        <v>44027</v>
      </c>
      <c r="F426" s="2">
        <f ca="1">DATEDIF(EmpTable[[#This Row],[Start Date]],TODAY(),"Y")</f>
        <v>5</v>
      </c>
      <c r="G426" t="s">
        <v>52</v>
      </c>
      <c r="H426" t="s">
        <v>17</v>
      </c>
      <c r="I426" t="s">
        <v>35</v>
      </c>
      <c r="J426">
        <v>2205</v>
      </c>
      <c r="K426">
        <v>26460</v>
      </c>
      <c r="L426">
        <v>3</v>
      </c>
      <c r="M426">
        <v>0</v>
      </c>
      <c r="N426">
        <v>0</v>
      </c>
      <c r="O426">
        <v>4</v>
      </c>
    </row>
    <row r="427" spans="1:15" x14ac:dyDescent="0.3">
      <c r="A427">
        <v>426</v>
      </c>
      <c r="B427" t="s">
        <v>32</v>
      </c>
      <c r="C427" t="s">
        <v>625</v>
      </c>
      <c r="D427" t="s">
        <v>31</v>
      </c>
      <c r="E427" s="1">
        <v>42562</v>
      </c>
      <c r="F427" s="2">
        <f ca="1">DATEDIF(EmpTable[[#This Row],[Start Date]],TODAY(),"Y")</f>
        <v>9</v>
      </c>
      <c r="G427" t="s">
        <v>27</v>
      </c>
      <c r="H427" t="s">
        <v>17</v>
      </c>
      <c r="I427" t="s">
        <v>897</v>
      </c>
      <c r="J427">
        <v>2651</v>
      </c>
      <c r="K427">
        <v>31812</v>
      </c>
      <c r="L427">
        <v>3</v>
      </c>
      <c r="M427">
        <v>0</v>
      </c>
      <c r="N427">
        <v>0</v>
      </c>
      <c r="O427">
        <v>6</v>
      </c>
    </row>
    <row r="428" spans="1:15" x14ac:dyDescent="0.3">
      <c r="A428">
        <v>427</v>
      </c>
      <c r="B428" t="s">
        <v>29</v>
      </c>
      <c r="C428" t="s">
        <v>230</v>
      </c>
      <c r="D428" t="s">
        <v>31</v>
      </c>
      <c r="E428" s="1">
        <v>43615</v>
      </c>
      <c r="F428" s="2">
        <f ca="1">DATEDIF(EmpTable[[#This Row],[Start Date]],TODAY(),"Y")</f>
        <v>6</v>
      </c>
      <c r="G428" t="s">
        <v>40</v>
      </c>
      <c r="H428" t="s">
        <v>17</v>
      </c>
      <c r="I428" t="s">
        <v>35</v>
      </c>
      <c r="J428">
        <v>1693</v>
      </c>
      <c r="K428">
        <v>20316</v>
      </c>
      <c r="L428">
        <v>4.5</v>
      </c>
      <c r="M428">
        <v>2</v>
      </c>
      <c r="N428">
        <v>5</v>
      </c>
      <c r="O428">
        <v>6</v>
      </c>
    </row>
    <row r="429" spans="1:15" x14ac:dyDescent="0.3">
      <c r="A429">
        <v>428</v>
      </c>
      <c r="B429" t="s">
        <v>171</v>
      </c>
      <c r="C429" t="s">
        <v>626</v>
      </c>
      <c r="D429" t="s">
        <v>306</v>
      </c>
      <c r="E429" s="1">
        <v>43821</v>
      </c>
      <c r="F429" s="2">
        <f ca="1">DATEDIF(EmpTable[[#This Row],[Start Date]],TODAY(),"Y")</f>
        <v>6</v>
      </c>
      <c r="G429" t="s">
        <v>38</v>
      </c>
      <c r="H429" t="s">
        <v>17</v>
      </c>
      <c r="I429" t="s">
        <v>41</v>
      </c>
      <c r="J429">
        <v>1690</v>
      </c>
      <c r="K429">
        <v>20280</v>
      </c>
      <c r="L429">
        <v>1</v>
      </c>
      <c r="M429">
        <v>0</v>
      </c>
      <c r="N429">
        <v>0</v>
      </c>
      <c r="O429">
        <v>6</v>
      </c>
    </row>
    <row r="430" spans="1:15" x14ac:dyDescent="0.3">
      <c r="A430">
        <v>429</v>
      </c>
      <c r="B430" t="s">
        <v>19</v>
      </c>
      <c r="C430" t="s">
        <v>627</v>
      </c>
      <c r="D430" t="s">
        <v>31</v>
      </c>
      <c r="E430" s="1">
        <v>43499</v>
      </c>
      <c r="F430" s="2">
        <f ca="1">DATEDIF(EmpTable[[#This Row],[Start Date]],TODAY(),"Y")</f>
        <v>7</v>
      </c>
      <c r="G430" t="s">
        <v>40</v>
      </c>
      <c r="H430" t="s">
        <v>17</v>
      </c>
      <c r="I430" t="s">
        <v>41</v>
      </c>
      <c r="J430">
        <v>766</v>
      </c>
      <c r="K430">
        <v>9192</v>
      </c>
      <c r="L430">
        <v>3</v>
      </c>
      <c r="M430">
        <v>0</v>
      </c>
      <c r="N430">
        <v>0</v>
      </c>
      <c r="O430">
        <v>5</v>
      </c>
    </row>
    <row r="431" spans="1:15" x14ac:dyDescent="0.3">
      <c r="A431">
        <v>430</v>
      </c>
      <c r="B431" t="s">
        <v>66</v>
      </c>
      <c r="C431" t="s">
        <v>628</v>
      </c>
      <c r="D431" t="s">
        <v>31</v>
      </c>
      <c r="E431" s="1">
        <v>43661</v>
      </c>
      <c r="F431" s="2">
        <f ca="1">DATEDIF(EmpTable[[#This Row],[Start Date]],TODAY(),"Y")</f>
        <v>6</v>
      </c>
      <c r="G431" t="s">
        <v>143</v>
      </c>
      <c r="H431" t="s">
        <v>17</v>
      </c>
      <c r="I431" t="s">
        <v>59</v>
      </c>
      <c r="J431">
        <v>2542</v>
      </c>
      <c r="K431">
        <v>30504</v>
      </c>
      <c r="L431">
        <v>3</v>
      </c>
      <c r="M431">
        <v>1</v>
      </c>
      <c r="N431">
        <v>0</v>
      </c>
      <c r="O431">
        <v>3</v>
      </c>
    </row>
    <row r="432" spans="1:15" x14ac:dyDescent="0.3">
      <c r="A432">
        <v>431</v>
      </c>
      <c r="B432" t="s">
        <v>209</v>
      </c>
      <c r="C432" t="s">
        <v>474</v>
      </c>
      <c r="D432" t="s">
        <v>306</v>
      </c>
      <c r="E432" s="1">
        <v>42654</v>
      </c>
      <c r="F432" s="2">
        <f ca="1">DATEDIF(EmpTable[[#This Row],[Start Date]],TODAY(),"Y")</f>
        <v>9</v>
      </c>
      <c r="G432" t="s">
        <v>87</v>
      </c>
      <c r="H432" t="s">
        <v>28</v>
      </c>
      <c r="I432" t="s">
        <v>897</v>
      </c>
      <c r="J432">
        <v>1966</v>
      </c>
      <c r="K432">
        <v>23592</v>
      </c>
      <c r="L432">
        <v>4.5</v>
      </c>
      <c r="M432">
        <v>0</v>
      </c>
      <c r="N432">
        <v>0</v>
      </c>
      <c r="O432">
        <v>8</v>
      </c>
    </row>
    <row r="433" spans="1:15" x14ac:dyDescent="0.3">
      <c r="A433">
        <v>432</v>
      </c>
      <c r="B433" t="s">
        <v>32</v>
      </c>
      <c r="C433" t="s">
        <v>629</v>
      </c>
      <c r="D433" t="s">
        <v>31</v>
      </c>
      <c r="E433" s="1">
        <v>43652</v>
      </c>
      <c r="F433" s="2">
        <f ca="1">DATEDIF(EmpTable[[#This Row],[Start Date]],TODAY(),"Y")</f>
        <v>6</v>
      </c>
      <c r="G433" t="s">
        <v>27</v>
      </c>
      <c r="H433" t="s">
        <v>17</v>
      </c>
      <c r="I433" t="s">
        <v>41</v>
      </c>
      <c r="J433">
        <v>2977</v>
      </c>
      <c r="K433">
        <v>35724</v>
      </c>
      <c r="L433">
        <v>4.5</v>
      </c>
      <c r="M433">
        <v>0</v>
      </c>
      <c r="N433">
        <v>0</v>
      </c>
      <c r="O433">
        <v>8</v>
      </c>
    </row>
    <row r="434" spans="1:15" x14ac:dyDescent="0.3">
      <c r="A434">
        <v>433</v>
      </c>
      <c r="B434" t="s">
        <v>66</v>
      </c>
      <c r="C434" t="s">
        <v>630</v>
      </c>
      <c r="D434" t="s">
        <v>31</v>
      </c>
      <c r="E434" s="1">
        <v>43043</v>
      </c>
      <c r="F434" s="2">
        <f ca="1">DATEDIF(EmpTable[[#This Row],[Start Date]],TODAY(),"Y")</f>
        <v>8</v>
      </c>
      <c r="G434" t="s">
        <v>76</v>
      </c>
      <c r="H434" t="s">
        <v>28</v>
      </c>
      <c r="I434" t="s">
        <v>41</v>
      </c>
      <c r="J434">
        <v>1404</v>
      </c>
      <c r="K434">
        <v>16848</v>
      </c>
      <c r="L434">
        <v>1</v>
      </c>
      <c r="M434">
        <v>5</v>
      </c>
      <c r="N434">
        <v>0</v>
      </c>
      <c r="O434">
        <v>10</v>
      </c>
    </row>
    <row r="435" spans="1:15" x14ac:dyDescent="0.3">
      <c r="A435">
        <v>434</v>
      </c>
      <c r="B435" t="s">
        <v>294</v>
      </c>
      <c r="C435" t="s">
        <v>631</v>
      </c>
      <c r="D435" t="s">
        <v>306</v>
      </c>
      <c r="E435" s="1">
        <v>43136</v>
      </c>
      <c r="F435" s="2">
        <f ca="1">DATEDIF(EmpTable[[#This Row],[Start Date]],TODAY(),"Y")</f>
        <v>8</v>
      </c>
      <c r="G435" t="s">
        <v>16</v>
      </c>
      <c r="H435" t="s">
        <v>47</v>
      </c>
      <c r="I435" t="s">
        <v>35</v>
      </c>
      <c r="J435">
        <v>1848</v>
      </c>
      <c r="K435">
        <v>22176</v>
      </c>
      <c r="L435">
        <v>3</v>
      </c>
      <c r="M435">
        <v>0</v>
      </c>
      <c r="N435">
        <v>0</v>
      </c>
      <c r="O435">
        <v>2</v>
      </c>
    </row>
    <row r="436" spans="1:15" x14ac:dyDescent="0.3">
      <c r="A436">
        <v>435</v>
      </c>
      <c r="B436" t="s">
        <v>36</v>
      </c>
      <c r="C436" t="s">
        <v>632</v>
      </c>
      <c r="D436" t="s">
        <v>306</v>
      </c>
      <c r="E436" s="1">
        <v>44082</v>
      </c>
      <c r="F436" s="2">
        <f ca="1">DATEDIF(EmpTable[[#This Row],[Start Date]],TODAY(),"Y")</f>
        <v>5</v>
      </c>
      <c r="G436" t="s">
        <v>27</v>
      </c>
      <c r="H436" t="s">
        <v>17</v>
      </c>
      <c r="I436" t="s">
        <v>35</v>
      </c>
      <c r="J436">
        <v>2069</v>
      </c>
      <c r="K436">
        <v>24828</v>
      </c>
      <c r="L436">
        <v>3</v>
      </c>
      <c r="M436">
        <v>2</v>
      </c>
      <c r="N436">
        <v>5</v>
      </c>
      <c r="O436">
        <v>6</v>
      </c>
    </row>
    <row r="437" spans="1:15" x14ac:dyDescent="0.3">
      <c r="A437">
        <v>436</v>
      </c>
      <c r="B437" t="s">
        <v>633</v>
      </c>
      <c r="C437" t="s">
        <v>634</v>
      </c>
      <c r="D437" t="s">
        <v>31</v>
      </c>
      <c r="E437" s="1">
        <v>44122</v>
      </c>
      <c r="F437" s="2">
        <f ca="1">DATEDIF(EmpTable[[#This Row],[Start Date]],TODAY(),"Y")</f>
        <v>5</v>
      </c>
      <c r="G437" t="s">
        <v>76</v>
      </c>
      <c r="H437" t="s">
        <v>21</v>
      </c>
      <c r="I437" t="s">
        <v>35</v>
      </c>
      <c r="J437">
        <v>1072</v>
      </c>
      <c r="K437">
        <v>12864</v>
      </c>
      <c r="L437">
        <v>4.5</v>
      </c>
      <c r="M437">
        <v>0</v>
      </c>
      <c r="N437">
        <v>0</v>
      </c>
      <c r="O437">
        <v>6</v>
      </c>
    </row>
    <row r="438" spans="1:15" x14ac:dyDescent="0.3">
      <c r="A438">
        <v>437</v>
      </c>
      <c r="B438" t="s">
        <v>635</v>
      </c>
      <c r="C438" t="s">
        <v>636</v>
      </c>
      <c r="D438" t="s">
        <v>306</v>
      </c>
      <c r="E438" s="1">
        <v>43813</v>
      </c>
      <c r="F438" s="2">
        <f ca="1">DATEDIF(EmpTable[[#This Row],[Start Date]],TODAY(),"Y")</f>
        <v>6</v>
      </c>
      <c r="G438" t="s">
        <v>34</v>
      </c>
      <c r="H438" t="s">
        <v>17</v>
      </c>
      <c r="I438" t="s">
        <v>41</v>
      </c>
      <c r="J438">
        <v>1984</v>
      </c>
      <c r="K438">
        <v>23808</v>
      </c>
      <c r="L438">
        <v>1</v>
      </c>
      <c r="M438">
        <v>1</v>
      </c>
      <c r="N438">
        <v>0</v>
      </c>
      <c r="O438">
        <v>8</v>
      </c>
    </row>
    <row r="439" spans="1:15" x14ac:dyDescent="0.3">
      <c r="A439">
        <v>438</v>
      </c>
      <c r="B439" t="s">
        <v>465</v>
      </c>
      <c r="C439" t="s">
        <v>637</v>
      </c>
      <c r="D439" t="s">
        <v>306</v>
      </c>
      <c r="E439" s="1">
        <v>44064</v>
      </c>
      <c r="F439" s="2">
        <f ca="1">DATEDIF(EmpTable[[#This Row],[Start Date]],TODAY(),"Y")</f>
        <v>5</v>
      </c>
      <c r="G439" t="s">
        <v>40</v>
      </c>
      <c r="H439" t="s">
        <v>17</v>
      </c>
      <c r="I439" t="s">
        <v>35</v>
      </c>
      <c r="J439">
        <v>999</v>
      </c>
      <c r="K439">
        <v>11988</v>
      </c>
      <c r="L439">
        <v>1</v>
      </c>
      <c r="M439">
        <v>5</v>
      </c>
      <c r="N439">
        <v>0</v>
      </c>
      <c r="O439">
        <v>61</v>
      </c>
    </row>
    <row r="440" spans="1:15" x14ac:dyDescent="0.3">
      <c r="A440">
        <v>439</v>
      </c>
      <c r="B440" t="s">
        <v>301</v>
      </c>
      <c r="C440" t="s">
        <v>638</v>
      </c>
      <c r="D440" t="s">
        <v>31</v>
      </c>
      <c r="E440" s="1">
        <v>43966</v>
      </c>
      <c r="F440" s="2">
        <f ca="1">DATEDIF(EmpTable[[#This Row],[Start Date]],TODAY(),"Y")</f>
        <v>5</v>
      </c>
      <c r="G440" t="s">
        <v>16</v>
      </c>
      <c r="H440" t="s">
        <v>47</v>
      </c>
      <c r="I440" t="s">
        <v>18</v>
      </c>
      <c r="J440">
        <v>2915</v>
      </c>
      <c r="K440">
        <v>34980</v>
      </c>
      <c r="L440">
        <v>3</v>
      </c>
      <c r="M440">
        <v>0</v>
      </c>
      <c r="N440">
        <v>0</v>
      </c>
      <c r="O440">
        <v>5</v>
      </c>
    </row>
    <row r="441" spans="1:15" x14ac:dyDescent="0.3">
      <c r="A441">
        <v>440</v>
      </c>
      <c r="B441" t="s">
        <v>65</v>
      </c>
      <c r="C441" t="s">
        <v>639</v>
      </c>
      <c r="D441" t="s">
        <v>31</v>
      </c>
      <c r="E441" s="1">
        <v>43770</v>
      </c>
      <c r="F441" s="2">
        <f ca="1">DATEDIF(EmpTable[[#This Row],[Start Date]],TODAY(),"Y")</f>
        <v>6</v>
      </c>
      <c r="G441" t="s">
        <v>52</v>
      </c>
      <c r="H441" t="s">
        <v>17</v>
      </c>
      <c r="I441" t="s">
        <v>897</v>
      </c>
      <c r="J441">
        <v>3158</v>
      </c>
      <c r="K441">
        <v>37896</v>
      </c>
      <c r="L441">
        <v>4.5</v>
      </c>
      <c r="M441">
        <v>3</v>
      </c>
      <c r="N441">
        <v>0</v>
      </c>
      <c r="O441">
        <v>7</v>
      </c>
    </row>
    <row r="442" spans="1:15" x14ac:dyDescent="0.3">
      <c r="A442">
        <v>441</v>
      </c>
      <c r="B442" t="s">
        <v>36</v>
      </c>
      <c r="C442" t="s">
        <v>339</v>
      </c>
      <c r="D442" t="s">
        <v>306</v>
      </c>
      <c r="E442" s="1">
        <v>42977</v>
      </c>
      <c r="F442" s="2">
        <f ca="1">DATEDIF(EmpTable[[#This Row],[Start Date]],TODAY(),"Y")</f>
        <v>8</v>
      </c>
      <c r="G442" t="s">
        <v>49</v>
      </c>
      <c r="H442" t="s">
        <v>17</v>
      </c>
      <c r="I442" t="s">
        <v>35</v>
      </c>
      <c r="J442">
        <v>711</v>
      </c>
      <c r="K442">
        <v>8532</v>
      </c>
      <c r="L442">
        <v>5</v>
      </c>
      <c r="M442">
        <v>0</v>
      </c>
      <c r="N442">
        <v>0</v>
      </c>
      <c r="O442">
        <v>10</v>
      </c>
    </row>
    <row r="443" spans="1:15" x14ac:dyDescent="0.3">
      <c r="A443">
        <v>442</v>
      </c>
      <c r="B443" t="s">
        <v>640</v>
      </c>
      <c r="C443" t="s">
        <v>641</v>
      </c>
      <c r="D443" t="s">
        <v>31</v>
      </c>
      <c r="E443" s="1">
        <v>43195</v>
      </c>
      <c r="F443" s="2">
        <f ca="1">DATEDIF(EmpTable[[#This Row],[Start Date]],TODAY(),"Y")</f>
        <v>7</v>
      </c>
      <c r="G443" t="s">
        <v>16</v>
      </c>
      <c r="H443" t="s">
        <v>21</v>
      </c>
      <c r="I443" t="s">
        <v>18</v>
      </c>
      <c r="J443">
        <v>899</v>
      </c>
      <c r="K443">
        <v>10788</v>
      </c>
      <c r="L443">
        <v>5</v>
      </c>
      <c r="M443">
        <v>6</v>
      </c>
      <c r="N443">
        <v>0</v>
      </c>
      <c r="O443">
        <v>38</v>
      </c>
    </row>
    <row r="444" spans="1:15" x14ac:dyDescent="0.3">
      <c r="A444">
        <v>443</v>
      </c>
      <c r="B444" t="s">
        <v>262</v>
      </c>
      <c r="C444" t="s">
        <v>642</v>
      </c>
      <c r="D444" t="s">
        <v>31</v>
      </c>
      <c r="E444" s="1">
        <v>43900</v>
      </c>
      <c r="F444" s="2">
        <f ca="1">DATEDIF(EmpTable[[#This Row],[Start Date]],TODAY(),"Y")</f>
        <v>5</v>
      </c>
      <c r="G444" t="s">
        <v>40</v>
      </c>
      <c r="H444" t="s">
        <v>17</v>
      </c>
      <c r="I444" t="s">
        <v>41</v>
      </c>
      <c r="J444">
        <v>2571</v>
      </c>
      <c r="K444">
        <v>30852</v>
      </c>
      <c r="L444">
        <v>3</v>
      </c>
      <c r="M444">
        <v>1</v>
      </c>
      <c r="N444">
        <v>0</v>
      </c>
      <c r="O444">
        <v>6</v>
      </c>
    </row>
    <row r="445" spans="1:15" x14ac:dyDescent="0.3">
      <c r="A445">
        <v>444</v>
      </c>
      <c r="B445" t="s">
        <v>29</v>
      </c>
      <c r="C445" t="s">
        <v>643</v>
      </c>
      <c r="D445" t="s">
        <v>31</v>
      </c>
      <c r="E445" s="1">
        <v>43265</v>
      </c>
      <c r="F445" s="2">
        <f ca="1">DATEDIF(EmpTable[[#This Row],[Start Date]],TODAY(),"Y")</f>
        <v>7</v>
      </c>
      <c r="G445" t="s">
        <v>16</v>
      </c>
      <c r="H445" t="s">
        <v>17</v>
      </c>
      <c r="I445" t="s">
        <v>897</v>
      </c>
      <c r="J445">
        <v>2437</v>
      </c>
      <c r="K445">
        <v>29244</v>
      </c>
      <c r="L445">
        <v>5</v>
      </c>
      <c r="M445">
        <v>0</v>
      </c>
      <c r="N445">
        <v>4</v>
      </c>
      <c r="O445">
        <v>8</v>
      </c>
    </row>
    <row r="446" spans="1:15" x14ac:dyDescent="0.3">
      <c r="A446">
        <v>445</v>
      </c>
      <c r="B446" t="s">
        <v>644</v>
      </c>
      <c r="C446" t="s">
        <v>645</v>
      </c>
      <c r="D446" t="s">
        <v>306</v>
      </c>
      <c r="E446" s="1">
        <v>43542</v>
      </c>
      <c r="F446" s="2">
        <f ca="1">DATEDIF(EmpTable[[#This Row],[Start Date]],TODAY(),"Y")</f>
        <v>6</v>
      </c>
      <c r="G446" t="s">
        <v>27</v>
      </c>
      <c r="H446" t="s">
        <v>17</v>
      </c>
      <c r="I446" t="s">
        <v>897</v>
      </c>
      <c r="J446">
        <v>2453</v>
      </c>
      <c r="K446">
        <v>29436</v>
      </c>
      <c r="L446">
        <v>5</v>
      </c>
      <c r="M446">
        <v>1</v>
      </c>
      <c r="N446">
        <v>0</v>
      </c>
      <c r="O446">
        <v>6</v>
      </c>
    </row>
    <row r="447" spans="1:15" x14ac:dyDescent="0.3">
      <c r="A447">
        <v>446</v>
      </c>
      <c r="B447" t="s">
        <v>646</v>
      </c>
      <c r="C447" t="s">
        <v>141</v>
      </c>
      <c r="D447" t="s">
        <v>306</v>
      </c>
      <c r="E447" s="1">
        <v>43279</v>
      </c>
      <c r="F447" s="2">
        <f ca="1">DATEDIF(EmpTable[[#This Row],[Start Date]],TODAY(),"Y")</f>
        <v>7</v>
      </c>
      <c r="G447" t="s">
        <v>27</v>
      </c>
      <c r="H447" t="s">
        <v>17</v>
      </c>
      <c r="I447" t="s">
        <v>897</v>
      </c>
      <c r="J447">
        <v>1839</v>
      </c>
      <c r="K447">
        <v>22068</v>
      </c>
      <c r="L447">
        <v>5</v>
      </c>
      <c r="M447">
        <v>1</v>
      </c>
      <c r="N447">
        <v>0</v>
      </c>
      <c r="O447">
        <v>9</v>
      </c>
    </row>
    <row r="448" spans="1:15" x14ac:dyDescent="0.3">
      <c r="A448">
        <v>447</v>
      </c>
      <c r="B448" t="s">
        <v>126</v>
      </c>
      <c r="C448" t="s">
        <v>647</v>
      </c>
      <c r="D448" t="s">
        <v>31</v>
      </c>
      <c r="E448" s="1">
        <v>42787</v>
      </c>
      <c r="F448" s="2">
        <f ca="1">DATEDIF(EmpTable[[#This Row],[Start Date]],TODAY(),"Y")</f>
        <v>9</v>
      </c>
      <c r="G448" t="s">
        <v>16</v>
      </c>
      <c r="H448" t="s">
        <v>28</v>
      </c>
      <c r="I448" t="s">
        <v>18</v>
      </c>
      <c r="J448">
        <v>2306</v>
      </c>
      <c r="K448">
        <v>27672</v>
      </c>
      <c r="L448">
        <v>1</v>
      </c>
      <c r="M448">
        <v>6</v>
      </c>
      <c r="N448">
        <v>0</v>
      </c>
      <c r="O448">
        <v>7</v>
      </c>
    </row>
    <row r="449" spans="1:15" x14ac:dyDescent="0.3">
      <c r="A449">
        <v>448</v>
      </c>
      <c r="B449" t="s">
        <v>32</v>
      </c>
      <c r="C449" t="s">
        <v>648</v>
      </c>
      <c r="D449" t="s">
        <v>31</v>
      </c>
      <c r="E449" s="1">
        <v>43269</v>
      </c>
      <c r="F449" s="2">
        <f ca="1">DATEDIF(EmpTable[[#This Row],[Start Date]],TODAY(),"Y")</f>
        <v>7</v>
      </c>
      <c r="G449" t="s">
        <v>34</v>
      </c>
      <c r="H449" t="s">
        <v>47</v>
      </c>
      <c r="I449" t="s">
        <v>41</v>
      </c>
      <c r="J449">
        <v>970</v>
      </c>
      <c r="K449">
        <v>11640</v>
      </c>
      <c r="L449">
        <v>1</v>
      </c>
      <c r="M449">
        <v>0</v>
      </c>
      <c r="N449">
        <v>0</v>
      </c>
      <c r="O449">
        <v>5</v>
      </c>
    </row>
    <row r="450" spans="1:15" x14ac:dyDescent="0.3">
      <c r="A450">
        <v>449</v>
      </c>
      <c r="B450" t="s">
        <v>649</v>
      </c>
      <c r="C450" t="s">
        <v>495</v>
      </c>
      <c r="D450" t="s">
        <v>31</v>
      </c>
      <c r="E450" s="1">
        <v>43224</v>
      </c>
      <c r="F450" s="2">
        <f ca="1">DATEDIF(EmpTable[[#This Row],[Start Date]],TODAY(),"Y")</f>
        <v>7</v>
      </c>
      <c r="G450" t="s">
        <v>76</v>
      </c>
      <c r="H450" t="s">
        <v>17</v>
      </c>
      <c r="I450" t="s">
        <v>35</v>
      </c>
      <c r="J450">
        <v>3140</v>
      </c>
      <c r="K450">
        <v>37680</v>
      </c>
      <c r="L450">
        <v>3</v>
      </c>
      <c r="M450">
        <v>6</v>
      </c>
      <c r="N450">
        <v>1</v>
      </c>
      <c r="O450">
        <v>5</v>
      </c>
    </row>
    <row r="451" spans="1:15" x14ac:dyDescent="0.3">
      <c r="A451">
        <v>450</v>
      </c>
      <c r="B451" t="s">
        <v>650</v>
      </c>
      <c r="C451" t="s">
        <v>651</v>
      </c>
      <c r="D451" t="s">
        <v>306</v>
      </c>
      <c r="E451" s="1">
        <v>42835</v>
      </c>
      <c r="F451" s="2">
        <f ca="1">DATEDIF(EmpTable[[#This Row],[Start Date]],TODAY(),"Y")</f>
        <v>8</v>
      </c>
      <c r="G451" t="s">
        <v>87</v>
      </c>
      <c r="H451" t="s">
        <v>17</v>
      </c>
      <c r="I451" t="s">
        <v>41</v>
      </c>
      <c r="J451">
        <v>1176</v>
      </c>
      <c r="K451">
        <v>14112</v>
      </c>
      <c r="L451">
        <v>5</v>
      </c>
      <c r="M451">
        <v>2</v>
      </c>
      <c r="N451">
        <v>0</v>
      </c>
      <c r="O451">
        <v>6</v>
      </c>
    </row>
    <row r="452" spans="1:15" x14ac:dyDescent="0.3">
      <c r="A452">
        <v>451</v>
      </c>
      <c r="B452" t="s">
        <v>29</v>
      </c>
      <c r="C452" t="s">
        <v>652</v>
      </c>
      <c r="D452" t="s">
        <v>31</v>
      </c>
      <c r="E452" s="1">
        <v>43698</v>
      </c>
      <c r="F452" s="2">
        <f ca="1">DATEDIF(EmpTable[[#This Row],[Start Date]],TODAY(),"Y")</f>
        <v>6</v>
      </c>
      <c r="G452" t="s">
        <v>52</v>
      </c>
      <c r="H452" t="s">
        <v>28</v>
      </c>
      <c r="I452" t="s">
        <v>897</v>
      </c>
      <c r="J452">
        <v>2742</v>
      </c>
      <c r="K452">
        <v>32904</v>
      </c>
      <c r="L452">
        <v>5</v>
      </c>
      <c r="M452">
        <v>0</v>
      </c>
      <c r="N452">
        <v>0</v>
      </c>
      <c r="O452">
        <v>9</v>
      </c>
    </row>
    <row r="453" spans="1:15" x14ac:dyDescent="0.3">
      <c r="A453">
        <v>452</v>
      </c>
      <c r="B453" t="s">
        <v>653</v>
      </c>
      <c r="C453" t="s">
        <v>654</v>
      </c>
      <c r="D453" t="s">
        <v>31</v>
      </c>
      <c r="E453" s="1">
        <v>42996</v>
      </c>
      <c r="F453" s="2">
        <f ca="1">DATEDIF(EmpTable[[#This Row],[Start Date]],TODAY(),"Y")</f>
        <v>8</v>
      </c>
      <c r="G453" t="s">
        <v>16</v>
      </c>
      <c r="H453" t="s">
        <v>17</v>
      </c>
      <c r="I453" t="s">
        <v>18</v>
      </c>
      <c r="J453">
        <v>734</v>
      </c>
      <c r="K453">
        <v>8808</v>
      </c>
      <c r="L453">
        <v>3</v>
      </c>
      <c r="M453">
        <v>0</v>
      </c>
      <c r="N453">
        <v>0</v>
      </c>
      <c r="O453">
        <v>0</v>
      </c>
    </row>
    <row r="454" spans="1:15" x14ac:dyDescent="0.3">
      <c r="A454">
        <v>453</v>
      </c>
      <c r="B454" t="s">
        <v>655</v>
      </c>
      <c r="C454" t="s">
        <v>656</v>
      </c>
      <c r="D454" t="s">
        <v>31</v>
      </c>
      <c r="E454" s="1">
        <v>43133</v>
      </c>
      <c r="F454" s="2">
        <f ca="1">DATEDIF(EmpTable[[#This Row],[Start Date]],TODAY(),"Y")</f>
        <v>8</v>
      </c>
      <c r="G454" t="s">
        <v>27</v>
      </c>
      <c r="H454" t="s">
        <v>47</v>
      </c>
      <c r="I454" t="s">
        <v>41</v>
      </c>
      <c r="J454">
        <v>894</v>
      </c>
      <c r="K454">
        <v>10728</v>
      </c>
      <c r="L454">
        <v>3</v>
      </c>
      <c r="M454">
        <v>6</v>
      </c>
      <c r="N454">
        <v>0</v>
      </c>
      <c r="O454">
        <v>93</v>
      </c>
    </row>
    <row r="455" spans="1:15" x14ac:dyDescent="0.3">
      <c r="A455">
        <v>454</v>
      </c>
      <c r="B455" t="s">
        <v>294</v>
      </c>
      <c r="C455" t="s">
        <v>657</v>
      </c>
      <c r="D455" t="s">
        <v>306</v>
      </c>
      <c r="E455" s="1">
        <v>44144</v>
      </c>
      <c r="F455" s="2">
        <f ca="1">DATEDIF(EmpTable[[#This Row],[Start Date]],TODAY(),"Y")</f>
        <v>5</v>
      </c>
      <c r="G455" t="s">
        <v>40</v>
      </c>
      <c r="H455" t="s">
        <v>21</v>
      </c>
      <c r="I455" t="s">
        <v>897</v>
      </c>
      <c r="J455">
        <v>2640</v>
      </c>
      <c r="K455">
        <v>31680</v>
      </c>
      <c r="L455">
        <v>4.5</v>
      </c>
      <c r="M455">
        <v>1</v>
      </c>
      <c r="N455">
        <v>5</v>
      </c>
      <c r="O455">
        <v>4</v>
      </c>
    </row>
    <row r="456" spans="1:15" x14ac:dyDescent="0.3">
      <c r="A456">
        <v>455</v>
      </c>
      <c r="B456" t="s">
        <v>205</v>
      </c>
      <c r="C456" t="s">
        <v>658</v>
      </c>
      <c r="D456" t="s">
        <v>306</v>
      </c>
      <c r="E456" s="1">
        <v>43497</v>
      </c>
      <c r="F456" s="2">
        <f ca="1">DATEDIF(EmpTable[[#This Row],[Start Date]],TODAY(),"Y")</f>
        <v>7</v>
      </c>
      <c r="G456" t="s">
        <v>27</v>
      </c>
      <c r="H456" t="s">
        <v>17</v>
      </c>
      <c r="I456" t="s">
        <v>35</v>
      </c>
      <c r="J456">
        <v>1059</v>
      </c>
      <c r="K456">
        <v>12708</v>
      </c>
      <c r="L456">
        <v>2</v>
      </c>
      <c r="M456">
        <v>0</v>
      </c>
      <c r="N456">
        <v>0</v>
      </c>
      <c r="O456">
        <v>14</v>
      </c>
    </row>
    <row r="457" spans="1:15" x14ac:dyDescent="0.3">
      <c r="A457">
        <v>456</v>
      </c>
      <c r="B457" t="s">
        <v>496</v>
      </c>
      <c r="C457" t="s">
        <v>659</v>
      </c>
      <c r="D457" t="s">
        <v>306</v>
      </c>
      <c r="E457" s="1">
        <v>43260</v>
      </c>
      <c r="F457" s="2">
        <f ca="1">DATEDIF(EmpTable[[#This Row],[Start Date]],TODAY(),"Y")</f>
        <v>7</v>
      </c>
      <c r="G457" t="s">
        <v>34</v>
      </c>
      <c r="H457" t="s">
        <v>293</v>
      </c>
      <c r="I457" t="s">
        <v>35</v>
      </c>
      <c r="J457">
        <v>3337</v>
      </c>
      <c r="K457">
        <v>40044</v>
      </c>
      <c r="L457">
        <v>3</v>
      </c>
      <c r="M457">
        <v>0</v>
      </c>
      <c r="N457">
        <v>2</v>
      </c>
      <c r="O457">
        <v>6</v>
      </c>
    </row>
    <row r="458" spans="1:15" x14ac:dyDescent="0.3">
      <c r="A458">
        <v>457</v>
      </c>
      <c r="B458" t="s">
        <v>32</v>
      </c>
      <c r="C458" t="s">
        <v>660</v>
      </c>
      <c r="D458" t="s">
        <v>31</v>
      </c>
      <c r="E458" s="1">
        <v>44063</v>
      </c>
      <c r="F458" s="2">
        <f ca="1">DATEDIF(EmpTable[[#This Row],[Start Date]],TODAY(),"Y")</f>
        <v>5</v>
      </c>
      <c r="G458" t="s">
        <v>76</v>
      </c>
      <c r="H458" t="s">
        <v>17</v>
      </c>
      <c r="I458" t="s">
        <v>35</v>
      </c>
      <c r="J458">
        <v>3154</v>
      </c>
      <c r="K458">
        <v>37848</v>
      </c>
      <c r="L458">
        <v>3</v>
      </c>
      <c r="M458">
        <v>0</v>
      </c>
      <c r="N458">
        <v>0</v>
      </c>
      <c r="O458">
        <v>6</v>
      </c>
    </row>
    <row r="459" spans="1:15" x14ac:dyDescent="0.3">
      <c r="A459">
        <v>458</v>
      </c>
      <c r="B459" t="s">
        <v>29</v>
      </c>
      <c r="C459" t="s">
        <v>661</v>
      </c>
      <c r="D459" t="s">
        <v>31</v>
      </c>
      <c r="E459" s="1">
        <v>43508</v>
      </c>
      <c r="F459" s="2">
        <f ca="1">DATEDIF(EmpTable[[#This Row],[Start Date]],TODAY(),"Y")</f>
        <v>7</v>
      </c>
      <c r="G459" t="s">
        <v>52</v>
      </c>
      <c r="H459" t="s">
        <v>17</v>
      </c>
      <c r="I459" t="s">
        <v>41</v>
      </c>
      <c r="J459">
        <v>1618</v>
      </c>
      <c r="K459">
        <v>19416</v>
      </c>
      <c r="L459">
        <v>3</v>
      </c>
      <c r="M459">
        <v>1</v>
      </c>
      <c r="N459">
        <v>0</v>
      </c>
      <c r="O459">
        <v>1</v>
      </c>
    </row>
    <row r="460" spans="1:15" x14ac:dyDescent="0.3">
      <c r="A460">
        <v>459</v>
      </c>
      <c r="B460" t="s">
        <v>32</v>
      </c>
      <c r="C460" t="s">
        <v>662</v>
      </c>
      <c r="D460" t="s">
        <v>31</v>
      </c>
      <c r="E460" s="1">
        <v>42786</v>
      </c>
      <c r="F460" s="2">
        <f ca="1">DATEDIF(EmpTable[[#This Row],[Start Date]],TODAY(),"Y")</f>
        <v>9</v>
      </c>
      <c r="G460" t="s">
        <v>76</v>
      </c>
      <c r="H460" t="s">
        <v>28</v>
      </c>
      <c r="I460" t="s">
        <v>41</v>
      </c>
      <c r="J460">
        <v>1248</v>
      </c>
      <c r="K460">
        <v>14976</v>
      </c>
      <c r="L460">
        <v>5</v>
      </c>
      <c r="M460">
        <v>0</v>
      </c>
      <c r="N460">
        <v>6</v>
      </c>
      <c r="O460">
        <v>7</v>
      </c>
    </row>
    <row r="461" spans="1:15" x14ac:dyDescent="0.3">
      <c r="A461">
        <v>460</v>
      </c>
      <c r="B461" t="s">
        <v>663</v>
      </c>
      <c r="C461" t="s">
        <v>664</v>
      </c>
      <c r="D461" t="s">
        <v>306</v>
      </c>
      <c r="E461" s="1">
        <v>42978</v>
      </c>
      <c r="F461" s="2">
        <f ca="1">DATEDIF(EmpTable[[#This Row],[Start Date]],TODAY(),"Y")</f>
        <v>8</v>
      </c>
      <c r="G461" t="s">
        <v>76</v>
      </c>
      <c r="H461" t="s">
        <v>17</v>
      </c>
      <c r="I461" t="s">
        <v>59</v>
      </c>
      <c r="J461">
        <v>1523</v>
      </c>
      <c r="K461">
        <v>18276</v>
      </c>
      <c r="L461">
        <v>3</v>
      </c>
      <c r="M461">
        <v>6</v>
      </c>
      <c r="N461">
        <v>5</v>
      </c>
      <c r="O461">
        <v>4</v>
      </c>
    </row>
    <row r="462" spans="1:15" x14ac:dyDescent="0.3">
      <c r="A462">
        <v>461</v>
      </c>
      <c r="B462" t="s">
        <v>665</v>
      </c>
      <c r="C462" t="s">
        <v>666</v>
      </c>
      <c r="D462" t="s">
        <v>306</v>
      </c>
      <c r="E462" s="1">
        <v>43475</v>
      </c>
      <c r="F462" s="2">
        <f ca="1">DATEDIF(EmpTable[[#This Row],[Start Date]],TODAY(),"Y")</f>
        <v>7</v>
      </c>
      <c r="G462" t="s">
        <v>27</v>
      </c>
      <c r="H462" t="s">
        <v>17</v>
      </c>
      <c r="I462" t="s">
        <v>35</v>
      </c>
      <c r="J462">
        <v>1275</v>
      </c>
      <c r="K462">
        <v>15300</v>
      </c>
      <c r="L462">
        <v>4.5</v>
      </c>
      <c r="M462">
        <v>3</v>
      </c>
      <c r="N462">
        <v>0</v>
      </c>
      <c r="O462">
        <v>9</v>
      </c>
    </row>
    <row r="463" spans="1:15" x14ac:dyDescent="0.3">
      <c r="A463">
        <v>462</v>
      </c>
      <c r="B463" t="s">
        <v>368</v>
      </c>
      <c r="C463" t="s">
        <v>667</v>
      </c>
      <c r="D463" t="s">
        <v>31</v>
      </c>
      <c r="E463" s="1">
        <v>43472</v>
      </c>
      <c r="F463" s="2">
        <f ca="1">DATEDIF(EmpTable[[#This Row],[Start Date]],TODAY(),"Y")</f>
        <v>7</v>
      </c>
      <c r="G463" t="s">
        <v>40</v>
      </c>
      <c r="H463" t="s">
        <v>47</v>
      </c>
      <c r="I463" t="s">
        <v>35</v>
      </c>
      <c r="J463">
        <v>1549</v>
      </c>
      <c r="K463">
        <v>18588</v>
      </c>
      <c r="L463">
        <v>3</v>
      </c>
      <c r="M463">
        <v>2</v>
      </c>
      <c r="N463">
        <v>0</v>
      </c>
      <c r="O463">
        <v>5</v>
      </c>
    </row>
    <row r="464" spans="1:15" x14ac:dyDescent="0.3">
      <c r="A464">
        <v>463</v>
      </c>
      <c r="B464" t="s">
        <v>372</v>
      </c>
      <c r="C464" t="s">
        <v>668</v>
      </c>
      <c r="D464" t="s">
        <v>31</v>
      </c>
      <c r="E464" s="1">
        <v>43618</v>
      </c>
      <c r="F464" s="2">
        <f ca="1">DATEDIF(EmpTable[[#This Row],[Start Date]],TODAY(),"Y")</f>
        <v>6</v>
      </c>
      <c r="G464" t="s">
        <v>87</v>
      </c>
      <c r="H464" t="s">
        <v>21</v>
      </c>
      <c r="I464" t="s">
        <v>897</v>
      </c>
      <c r="J464">
        <v>1786</v>
      </c>
      <c r="K464">
        <v>21432</v>
      </c>
      <c r="L464">
        <v>3</v>
      </c>
      <c r="M464">
        <v>4</v>
      </c>
      <c r="N464">
        <v>4</v>
      </c>
      <c r="O464">
        <v>1</v>
      </c>
    </row>
    <row r="465" spans="1:15" x14ac:dyDescent="0.3">
      <c r="A465">
        <v>464</v>
      </c>
      <c r="B465" t="s">
        <v>32</v>
      </c>
      <c r="C465" t="s">
        <v>669</v>
      </c>
      <c r="D465" t="s">
        <v>31</v>
      </c>
      <c r="E465" s="1">
        <v>43557</v>
      </c>
      <c r="F465" s="2">
        <f ca="1">DATEDIF(EmpTable[[#This Row],[Start Date]],TODAY(),"Y")</f>
        <v>6</v>
      </c>
      <c r="G465" t="s">
        <v>76</v>
      </c>
      <c r="H465" t="s">
        <v>21</v>
      </c>
      <c r="I465" t="s">
        <v>41</v>
      </c>
      <c r="J465">
        <v>1908</v>
      </c>
      <c r="K465">
        <v>22896</v>
      </c>
      <c r="L465">
        <v>1</v>
      </c>
      <c r="M465">
        <v>0</v>
      </c>
      <c r="N465">
        <v>5</v>
      </c>
      <c r="O465">
        <v>7</v>
      </c>
    </row>
    <row r="466" spans="1:15" x14ac:dyDescent="0.3">
      <c r="A466">
        <v>465</v>
      </c>
      <c r="B466" t="s">
        <v>29</v>
      </c>
      <c r="C466" t="s">
        <v>516</v>
      </c>
      <c r="D466" t="s">
        <v>31</v>
      </c>
      <c r="E466" s="1">
        <v>43249</v>
      </c>
      <c r="F466" s="2">
        <f ca="1">DATEDIF(EmpTable[[#This Row],[Start Date]],TODAY(),"Y")</f>
        <v>7</v>
      </c>
      <c r="G466" t="s">
        <v>52</v>
      </c>
      <c r="H466" t="s">
        <v>28</v>
      </c>
      <c r="I466" t="s">
        <v>35</v>
      </c>
      <c r="J466">
        <v>2321</v>
      </c>
      <c r="K466">
        <v>27852</v>
      </c>
      <c r="L466">
        <v>5</v>
      </c>
      <c r="M466">
        <v>0</v>
      </c>
      <c r="N466">
        <v>0</v>
      </c>
      <c r="O466">
        <v>6</v>
      </c>
    </row>
    <row r="467" spans="1:15" x14ac:dyDescent="0.3">
      <c r="A467">
        <v>466</v>
      </c>
      <c r="B467" t="s">
        <v>670</v>
      </c>
      <c r="C467" t="s">
        <v>671</v>
      </c>
      <c r="D467" t="s">
        <v>31</v>
      </c>
      <c r="E467" s="1">
        <v>44109</v>
      </c>
      <c r="F467" s="2">
        <f ca="1">DATEDIF(EmpTable[[#This Row],[Start Date]],TODAY(),"Y")</f>
        <v>5</v>
      </c>
      <c r="G467" t="s">
        <v>52</v>
      </c>
      <c r="H467" t="s">
        <v>28</v>
      </c>
      <c r="I467" t="s">
        <v>41</v>
      </c>
      <c r="J467">
        <v>899</v>
      </c>
      <c r="K467">
        <v>10788</v>
      </c>
      <c r="L467">
        <v>1</v>
      </c>
      <c r="M467">
        <v>4</v>
      </c>
      <c r="N467">
        <v>0</v>
      </c>
      <c r="O467">
        <v>27</v>
      </c>
    </row>
    <row r="468" spans="1:15" x14ac:dyDescent="0.3">
      <c r="A468">
        <v>467</v>
      </c>
      <c r="B468" t="s">
        <v>32</v>
      </c>
      <c r="C468" t="s">
        <v>672</v>
      </c>
      <c r="D468" t="s">
        <v>31</v>
      </c>
      <c r="E468" s="1">
        <v>43822</v>
      </c>
      <c r="F468" s="2">
        <f ca="1">DATEDIF(EmpTable[[#This Row],[Start Date]],TODAY(),"Y")</f>
        <v>6</v>
      </c>
      <c r="G468" t="s">
        <v>87</v>
      </c>
      <c r="H468" t="s">
        <v>17</v>
      </c>
      <c r="I468" t="s">
        <v>35</v>
      </c>
      <c r="J468">
        <v>1168</v>
      </c>
      <c r="K468">
        <v>14016</v>
      </c>
      <c r="L468">
        <v>5</v>
      </c>
      <c r="M468">
        <v>0</v>
      </c>
      <c r="N468">
        <v>0</v>
      </c>
      <c r="O468">
        <v>8</v>
      </c>
    </row>
    <row r="469" spans="1:15" x14ac:dyDescent="0.3">
      <c r="A469">
        <v>468</v>
      </c>
      <c r="B469" t="s">
        <v>673</v>
      </c>
      <c r="C469" t="s">
        <v>674</v>
      </c>
      <c r="D469" t="s">
        <v>31</v>
      </c>
      <c r="E469" s="1">
        <v>43194</v>
      </c>
      <c r="F469" s="2">
        <f ca="1">DATEDIF(EmpTable[[#This Row],[Start Date]],TODAY(),"Y")</f>
        <v>7</v>
      </c>
      <c r="G469" t="s">
        <v>92</v>
      </c>
      <c r="H469" t="s">
        <v>17</v>
      </c>
      <c r="I469" t="s">
        <v>41</v>
      </c>
      <c r="J469">
        <v>2169</v>
      </c>
      <c r="K469">
        <v>26028</v>
      </c>
      <c r="L469">
        <v>1</v>
      </c>
      <c r="M469">
        <v>4</v>
      </c>
      <c r="N469">
        <v>0</v>
      </c>
      <c r="O469">
        <v>2</v>
      </c>
    </row>
    <row r="470" spans="1:15" x14ac:dyDescent="0.3">
      <c r="A470">
        <v>469</v>
      </c>
      <c r="B470" t="s">
        <v>32</v>
      </c>
      <c r="C470" t="s">
        <v>387</v>
      </c>
      <c r="D470" t="s">
        <v>31</v>
      </c>
      <c r="E470" s="1">
        <v>43900</v>
      </c>
      <c r="F470" s="2">
        <f ca="1">DATEDIF(EmpTable[[#This Row],[Start Date]],TODAY(),"Y")</f>
        <v>5</v>
      </c>
      <c r="G470" t="s">
        <v>199</v>
      </c>
      <c r="H470" t="s">
        <v>293</v>
      </c>
      <c r="I470" t="s">
        <v>41</v>
      </c>
      <c r="J470">
        <v>2819</v>
      </c>
      <c r="K470">
        <v>33828</v>
      </c>
      <c r="L470">
        <v>4.5</v>
      </c>
      <c r="M470">
        <v>5</v>
      </c>
      <c r="N470">
        <v>0</v>
      </c>
      <c r="O470">
        <v>51</v>
      </c>
    </row>
    <row r="471" spans="1:15" x14ac:dyDescent="0.3">
      <c r="A471">
        <v>470</v>
      </c>
      <c r="B471" t="s">
        <v>29</v>
      </c>
      <c r="C471" t="s">
        <v>675</v>
      </c>
      <c r="D471" t="s">
        <v>31</v>
      </c>
      <c r="E471" s="1">
        <v>43403</v>
      </c>
      <c r="F471" s="2">
        <f ca="1">DATEDIF(EmpTable[[#This Row],[Start Date]],TODAY(),"Y")</f>
        <v>7</v>
      </c>
      <c r="G471" t="s">
        <v>49</v>
      </c>
      <c r="H471" t="s">
        <v>28</v>
      </c>
      <c r="I471" t="s">
        <v>35</v>
      </c>
      <c r="J471">
        <v>847</v>
      </c>
      <c r="K471">
        <v>10164</v>
      </c>
      <c r="L471">
        <v>3</v>
      </c>
      <c r="M471">
        <v>0</v>
      </c>
      <c r="N471">
        <v>0</v>
      </c>
      <c r="O471">
        <v>3</v>
      </c>
    </row>
    <row r="472" spans="1:15" x14ac:dyDescent="0.3">
      <c r="A472">
        <v>471</v>
      </c>
      <c r="B472" t="s">
        <v>32</v>
      </c>
      <c r="C472" t="s">
        <v>545</v>
      </c>
      <c r="D472" t="s">
        <v>31</v>
      </c>
      <c r="E472" s="1">
        <v>43900</v>
      </c>
      <c r="F472" s="2">
        <f ca="1">DATEDIF(EmpTable[[#This Row],[Start Date]],TODAY(),"Y")</f>
        <v>5</v>
      </c>
      <c r="G472" t="s">
        <v>40</v>
      </c>
      <c r="H472" t="s">
        <v>17</v>
      </c>
      <c r="I472" t="s">
        <v>18</v>
      </c>
      <c r="J472">
        <v>2308</v>
      </c>
      <c r="K472">
        <v>27696</v>
      </c>
      <c r="L472">
        <v>2</v>
      </c>
      <c r="M472">
        <v>0</v>
      </c>
      <c r="N472">
        <v>0</v>
      </c>
      <c r="O472">
        <v>13</v>
      </c>
    </row>
    <row r="473" spans="1:15" x14ac:dyDescent="0.3">
      <c r="A473">
        <v>472</v>
      </c>
      <c r="B473" t="s">
        <v>83</v>
      </c>
      <c r="C473" t="s">
        <v>676</v>
      </c>
      <c r="D473" t="s">
        <v>306</v>
      </c>
      <c r="E473" s="1">
        <v>43435</v>
      </c>
      <c r="F473" s="2">
        <f ca="1">DATEDIF(EmpTable[[#This Row],[Start Date]],TODAY(),"Y")</f>
        <v>7</v>
      </c>
      <c r="G473" t="s">
        <v>27</v>
      </c>
      <c r="H473" t="s">
        <v>17</v>
      </c>
      <c r="I473" t="s">
        <v>897</v>
      </c>
      <c r="J473">
        <v>1692</v>
      </c>
      <c r="K473">
        <v>20304</v>
      </c>
      <c r="L473">
        <v>4.5</v>
      </c>
      <c r="M473">
        <v>4</v>
      </c>
      <c r="N473">
        <v>0</v>
      </c>
      <c r="O473">
        <v>6</v>
      </c>
    </row>
    <row r="474" spans="1:15" x14ac:dyDescent="0.3">
      <c r="A474">
        <v>473</v>
      </c>
      <c r="B474" t="s">
        <v>677</v>
      </c>
      <c r="C474" t="s">
        <v>158</v>
      </c>
      <c r="D474" t="s">
        <v>31</v>
      </c>
      <c r="E474" s="1">
        <v>43159</v>
      </c>
      <c r="F474" s="2">
        <f ca="1">DATEDIF(EmpTable[[#This Row],[Start Date]],TODAY(),"Y")</f>
        <v>7</v>
      </c>
      <c r="G474" t="s">
        <v>76</v>
      </c>
      <c r="H474" t="s">
        <v>17</v>
      </c>
      <c r="I474" t="s">
        <v>41</v>
      </c>
      <c r="J474">
        <v>1372</v>
      </c>
      <c r="K474">
        <v>16464</v>
      </c>
      <c r="L474">
        <v>1</v>
      </c>
      <c r="M474">
        <v>0</v>
      </c>
      <c r="N474">
        <v>0</v>
      </c>
      <c r="O474">
        <v>4</v>
      </c>
    </row>
    <row r="475" spans="1:15" x14ac:dyDescent="0.3">
      <c r="A475">
        <v>474</v>
      </c>
      <c r="B475" t="s">
        <v>412</v>
      </c>
      <c r="C475" t="s">
        <v>678</v>
      </c>
      <c r="D475" t="s">
        <v>306</v>
      </c>
      <c r="E475" s="1">
        <v>43617</v>
      </c>
      <c r="F475" s="2">
        <f ca="1">DATEDIF(EmpTable[[#This Row],[Start Date]],TODAY(),"Y")</f>
        <v>6</v>
      </c>
      <c r="G475" t="s">
        <v>40</v>
      </c>
      <c r="H475" t="s">
        <v>17</v>
      </c>
      <c r="I475" t="s">
        <v>897</v>
      </c>
      <c r="J475">
        <v>2594</v>
      </c>
      <c r="K475">
        <v>31128</v>
      </c>
      <c r="L475">
        <v>3</v>
      </c>
      <c r="M475">
        <v>5</v>
      </c>
      <c r="N475">
        <v>0</v>
      </c>
      <c r="O475">
        <v>0</v>
      </c>
    </row>
    <row r="476" spans="1:15" x14ac:dyDescent="0.3">
      <c r="A476">
        <v>475</v>
      </c>
      <c r="B476" t="s">
        <v>459</v>
      </c>
      <c r="C476" t="s">
        <v>679</v>
      </c>
      <c r="D476" t="s">
        <v>31</v>
      </c>
      <c r="E476" s="1">
        <v>43237</v>
      </c>
      <c r="F476" s="2">
        <f ca="1">DATEDIF(EmpTable[[#This Row],[Start Date]],TODAY(),"Y")</f>
        <v>7</v>
      </c>
      <c r="G476" t="s">
        <v>16</v>
      </c>
      <c r="H476" t="s">
        <v>17</v>
      </c>
      <c r="I476" t="s">
        <v>35</v>
      </c>
      <c r="J476">
        <v>1082</v>
      </c>
      <c r="K476">
        <v>12984</v>
      </c>
      <c r="L476">
        <v>5</v>
      </c>
      <c r="M476">
        <v>1</v>
      </c>
      <c r="N476">
        <v>4</v>
      </c>
      <c r="O476">
        <v>8</v>
      </c>
    </row>
    <row r="477" spans="1:15" x14ac:dyDescent="0.3">
      <c r="A477">
        <v>476</v>
      </c>
      <c r="B477" t="s">
        <v>32</v>
      </c>
      <c r="C477" t="s">
        <v>307</v>
      </c>
      <c r="D477" t="s">
        <v>31</v>
      </c>
      <c r="E477" s="1">
        <v>43413</v>
      </c>
      <c r="F477" s="2">
        <f ca="1">DATEDIF(EmpTable[[#This Row],[Start Date]],TODAY(),"Y")</f>
        <v>7</v>
      </c>
      <c r="G477" t="s">
        <v>27</v>
      </c>
      <c r="H477" t="s">
        <v>17</v>
      </c>
      <c r="I477" t="s">
        <v>18</v>
      </c>
      <c r="J477">
        <v>1929</v>
      </c>
      <c r="K477">
        <v>23148</v>
      </c>
      <c r="L477">
        <v>5</v>
      </c>
      <c r="M477">
        <v>3</v>
      </c>
      <c r="N477">
        <v>0</v>
      </c>
      <c r="O477">
        <v>43</v>
      </c>
    </row>
    <row r="478" spans="1:15" x14ac:dyDescent="0.3">
      <c r="A478">
        <v>477</v>
      </c>
      <c r="B478" t="s">
        <v>680</v>
      </c>
      <c r="C478" t="s">
        <v>79</v>
      </c>
      <c r="D478" t="s">
        <v>31</v>
      </c>
      <c r="E478" s="1">
        <v>43720</v>
      </c>
      <c r="F478" s="2">
        <f ca="1">DATEDIF(EmpTable[[#This Row],[Start Date]],TODAY(),"Y")</f>
        <v>6</v>
      </c>
      <c r="G478" t="s">
        <v>27</v>
      </c>
      <c r="H478" t="s">
        <v>21</v>
      </c>
      <c r="I478" t="s">
        <v>41</v>
      </c>
      <c r="J478">
        <v>1883</v>
      </c>
      <c r="K478">
        <v>22596</v>
      </c>
      <c r="L478">
        <v>3</v>
      </c>
      <c r="M478">
        <v>3</v>
      </c>
      <c r="N478">
        <v>0</v>
      </c>
      <c r="O478">
        <v>3</v>
      </c>
    </row>
    <row r="479" spans="1:15" x14ac:dyDescent="0.3">
      <c r="A479">
        <v>478</v>
      </c>
      <c r="B479" t="s">
        <v>387</v>
      </c>
      <c r="C479" t="s">
        <v>511</v>
      </c>
      <c r="D479" t="s">
        <v>31</v>
      </c>
      <c r="E479" s="1">
        <v>43594</v>
      </c>
      <c r="F479" s="2">
        <f ca="1">DATEDIF(EmpTable[[#This Row],[Start Date]],TODAY(),"Y")</f>
        <v>6</v>
      </c>
      <c r="G479" t="s">
        <v>40</v>
      </c>
      <c r="H479" t="s">
        <v>28</v>
      </c>
      <c r="I479" t="s">
        <v>18</v>
      </c>
      <c r="J479">
        <v>874</v>
      </c>
      <c r="K479">
        <v>10488</v>
      </c>
      <c r="L479">
        <v>3</v>
      </c>
      <c r="M479">
        <v>0</v>
      </c>
      <c r="N479">
        <v>0</v>
      </c>
      <c r="O479">
        <v>7</v>
      </c>
    </row>
    <row r="480" spans="1:15" x14ac:dyDescent="0.3">
      <c r="A480">
        <v>479</v>
      </c>
      <c r="B480" t="s">
        <v>164</v>
      </c>
      <c r="C480" t="s">
        <v>681</v>
      </c>
      <c r="D480" t="s">
        <v>31</v>
      </c>
      <c r="E480" s="1">
        <v>42603</v>
      </c>
      <c r="F480" s="2">
        <f ca="1">DATEDIF(EmpTable[[#This Row],[Start Date]],TODAY(),"Y")</f>
        <v>9</v>
      </c>
      <c r="G480" t="s">
        <v>16</v>
      </c>
      <c r="H480" t="s">
        <v>21</v>
      </c>
      <c r="I480" t="s">
        <v>18</v>
      </c>
      <c r="J480">
        <v>2780</v>
      </c>
      <c r="K480">
        <v>33360</v>
      </c>
      <c r="L480">
        <v>3</v>
      </c>
      <c r="M480">
        <v>3</v>
      </c>
      <c r="N480">
        <v>0</v>
      </c>
      <c r="O480">
        <v>2</v>
      </c>
    </row>
    <row r="481" spans="1:15" x14ac:dyDescent="0.3">
      <c r="A481">
        <v>480</v>
      </c>
      <c r="B481" t="s">
        <v>206</v>
      </c>
      <c r="C481" t="s">
        <v>129</v>
      </c>
      <c r="D481" t="s">
        <v>31</v>
      </c>
      <c r="E481" s="1">
        <v>43832</v>
      </c>
      <c r="F481" s="2">
        <f ca="1">DATEDIF(EmpTable[[#This Row],[Start Date]],TODAY(),"Y")</f>
        <v>6</v>
      </c>
      <c r="G481" t="s">
        <v>49</v>
      </c>
      <c r="H481" t="s">
        <v>47</v>
      </c>
      <c r="I481" t="s">
        <v>59</v>
      </c>
      <c r="J481">
        <v>1980</v>
      </c>
      <c r="K481">
        <v>23760</v>
      </c>
      <c r="L481">
        <v>2</v>
      </c>
      <c r="M481">
        <v>3</v>
      </c>
      <c r="N481">
        <v>0</v>
      </c>
      <c r="O481">
        <v>0</v>
      </c>
    </row>
    <row r="482" spans="1:15" x14ac:dyDescent="0.3">
      <c r="A482">
        <v>481</v>
      </c>
      <c r="B482" t="s">
        <v>70</v>
      </c>
      <c r="C482" t="s">
        <v>682</v>
      </c>
      <c r="D482" t="s">
        <v>31</v>
      </c>
      <c r="E482" s="1">
        <v>43832</v>
      </c>
      <c r="F482" s="2">
        <f ca="1">DATEDIF(EmpTable[[#This Row],[Start Date]],TODAY(),"Y")</f>
        <v>6</v>
      </c>
      <c r="G482" t="s">
        <v>24</v>
      </c>
      <c r="H482" t="s">
        <v>47</v>
      </c>
      <c r="I482" t="s">
        <v>41</v>
      </c>
      <c r="J482">
        <v>2611</v>
      </c>
      <c r="K482">
        <v>31332</v>
      </c>
      <c r="L482">
        <v>5</v>
      </c>
      <c r="M482">
        <v>4</v>
      </c>
      <c r="N482">
        <v>0</v>
      </c>
      <c r="O482">
        <v>9</v>
      </c>
    </row>
    <row r="483" spans="1:15" x14ac:dyDescent="0.3">
      <c r="A483">
        <v>482</v>
      </c>
      <c r="B483" t="s">
        <v>683</v>
      </c>
      <c r="C483" t="s">
        <v>684</v>
      </c>
      <c r="D483" t="s">
        <v>31</v>
      </c>
      <c r="E483" s="1">
        <v>43141</v>
      </c>
      <c r="F483" s="2">
        <f ca="1">DATEDIF(EmpTable[[#This Row],[Start Date]],TODAY(),"Y")</f>
        <v>8</v>
      </c>
      <c r="G483" t="s">
        <v>199</v>
      </c>
      <c r="H483" t="s">
        <v>47</v>
      </c>
      <c r="I483" t="s">
        <v>897</v>
      </c>
      <c r="J483">
        <v>1881</v>
      </c>
      <c r="K483">
        <v>22572</v>
      </c>
      <c r="L483">
        <v>5</v>
      </c>
      <c r="M483">
        <v>1</v>
      </c>
      <c r="N483">
        <v>0</v>
      </c>
      <c r="O483">
        <v>1</v>
      </c>
    </row>
    <row r="484" spans="1:15" x14ac:dyDescent="0.3">
      <c r="A484">
        <v>483</v>
      </c>
      <c r="B484" t="s">
        <v>685</v>
      </c>
      <c r="C484" t="s">
        <v>686</v>
      </c>
      <c r="D484" t="s">
        <v>31</v>
      </c>
      <c r="E484" s="1">
        <v>42530</v>
      </c>
      <c r="F484" s="2">
        <f ca="1">DATEDIF(EmpTable[[#This Row],[Start Date]],TODAY(),"Y")</f>
        <v>9</v>
      </c>
      <c r="G484" t="s">
        <v>27</v>
      </c>
      <c r="H484" t="s">
        <v>17</v>
      </c>
      <c r="I484" t="s">
        <v>18</v>
      </c>
      <c r="J484">
        <v>1517</v>
      </c>
      <c r="K484">
        <v>18204</v>
      </c>
      <c r="L484">
        <v>5</v>
      </c>
      <c r="M484">
        <v>4</v>
      </c>
      <c r="N484">
        <v>0</v>
      </c>
      <c r="O484">
        <v>6</v>
      </c>
    </row>
    <row r="485" spans="1:15" x14ac:dyDescent="0.3">
      <c r="A485">
        <v>484</v>
      </c>
      <c r="B485" t="s">
        <v>185</v>
      </c>
      <c r="C485" t="s">
        <v>32</v>
      </c>
      <c r="D485" t="s">
        <v>31</v>
      </c>
      <c r="E485" s="1">
        <v>43825</v>
      </c>
      <c r="F485" s="2">
        <f ca="1">DATEDIF(EmpTable[[#This Row],[Start Date]],TODAY(),"Y")</f>
        <v>6</v>
      </c>
      <c r="G485" t="s">
        <v>34</v>
      </c>
      <c r="H485" t="s">
        <v>17</v>
      </c>
      <c r="I485" t="s">
        <v>18</v>
      </c>
      <c r="J485">
        <v>1459</v>
      </c>
      <c r="K485">
        <v>17508</v>
      </c>
      <c r="L485">
        <v>4.5</v>
      </c>
      <c r="M485">
        <v>0</v>
      </c>
      <c r="N485">
        <v>0</v>
      </c>
      <c r="O485">
        <v>10</v>
      </c>
    </row>
    <row r="486" spans="1:15" x14ac:dyDescent="0.3">
      <c r="A486">
        <v>485</v>
      </c>
      <c r="B486" t="s">
        <v>218</v>
      </c>
      <c r="C486" t="s">
        <v>687</v>
      </c>
      <c r="D486" t="s">
        <v>31</v>
      </c>
      <c r="E486" s="1">
        <v>43761</v>
      </c>
      <c r="F486" s="2">
        <f ca="1">DATEDIF(EmpTable[[#This Row],[Start Date]],TODAY(),"Y")</f>
        <v>6</v>
      </c>
      <c r="G486" t="s">
        <v>87</v>
      </c>
      <c r="H486" t="s">
        <v>21</v>
      </c>
      <c r="I486" t="s">
        <v>41</v>
      </c>
      <c r="J486">
        <v>2383</v>
      </c>
      <c r="K486">
        <v>28596</v>
      </c>
      <c r="L486">
        <v>3</v>
      </c>
      <c r="M486">
        <v>0</v>
      </c>
      <c r="N486">
        <v>0</v>
      </c>
      <c r="O486">
        <v>0</v>
      </c>
    </row>
    <row r="487" spans="1:15" x14ac:dyDescent="0.3">
      <c r="A487">
        <v>486</v>
      </c>
      <c r="B487" t="s">
        <v>48</v>
      </c>
      <c r="C487" t="s">
        <v>460</v>
      </c>
      <c r="D487" t="s">
        <v>31</v>
      </c>
      <c r="E487" s="1">
        <v>43168</v>
      </c>
      <c r="F487" s="2">
        <f ca="1">DATEDIF(EmpTable[[#This Row],[Start Date]],TODAY(),"Y")</f>
        <v>7</v>
      </c>
      <c r="G487" t="s">
        <v>76</v>
      </c>
      <c r="H487" t="s">
        <v>17</v>
      </c>
      <c r="I487" t="s">
        <v>59</v>
      </c>
      <c r="J487">
        <v>1420</v>
      </c>
      <c r="K487">
        <v>17040</v>
      </c>
      <c r="L487">
        <v>5</v>
      </c>
      <c r="M487">
        <v>2</v>
      </c>
      <c r="N487">
        <v>6</v>
      </c>
      <c r="O487">
        <v>7</v>
      </c>
    </row>
    <row r="488" spans="1:15" x14ac:dyDescent="0.3">
      <c r="A488">
        <v>487</v>
      </c>
      <c r="B488" t="s">
        <v>356</v>
      </c>
      <c r="C488" t="s">
        <v>688</v>
      </c>
      <c r="D488" t="s">
        <v>31</v>
      </c>
      <c r="E488" s="1">
        <v>43358</v>
      </c>
      <c r="F488" s="2">
        <f ca="1">DATEDIF(EmpTable[[#This Row],[Start Date]],TODAY(),"Y")</f>
        <v>7</v>
      </c>
      <c r="G488" t="s">
        <v>24</v>
      </c>
      <c r="H488" t="s">
        <v>17</v>
      </c>
      <c r="I488" t="s">
        <v>35</v>
      </c>
      <c r="J488">
        <v>1382</v>
      </c>
      <c r="K488">
        <v>16584</v>
      </c>
      <c r="L488">
        <v>4.5</v>
      </c>
      <c r="M488">
        <v>0</v>
      </c>
      <c r="N488">
        <v>1</v>
      </c>
      <c r="O488">
        <v>14</v>
      </c>
    </row>
    <row r="489" spans="1:15" x14ac:dyDescent="0.3">
      <c r="A489">
        <v>488</v>
      </c>
      <c r="B489" t="s">
        <v>29</v>
      </c>
      <c r="C489" t="s">
        <v>689</v>
      </c>
      <c r="D489" t="s">
        <v>31</v>
      </c>
      <c r="E489" s="1">
        <v>44097</v>
      </c>
      <c r="F489" s="2">
        <f ca="1">DATEDIF(EmpTable[[#This Row],[Start Date]],TODAY(),"Y")</f>
        <v>5</v>
      </c>
      <c r="G489" t="s">
        <v>49</v>
      </c>
      <c r="H489" t="s">
        <v>28</v>
      </c>
      <c r="I489" t="s">
        <v>18</v>
      </c>
      <c r="J489">
        <v>1920</v>
      </c>
      <c r="K489">
        <v>23040</v>
      </c>
      <c r="L489">
        <v>5</v>
      </c>
      <c r="M489">
        <v>0</v>
      </c>
      <c r="N489">
        <v>5</v>
      </c>
      <c r="O489">
        <v>1</v>
      </c>
    </row>
    <row r="490" spans="1:15" x14ac:dyDescent="0.3">
      <c r="A490">
        <v>489</v>
      </c>
      <c r="B490" t="s">
        <v>29</v>
      </c>
      <c r="C490" t="s">
        <v>690</v>
      </c>
      <c r="D490" t="s">
        <v>31</v>
      </c>
      <c r="E490" s="1">
        <v>44091</v>
      </c>
      <c r="F490" s="2">
        <f ca="1">DATEDIF(EmpTable[[#This Row],[Start Date]],TODAY(),"Y")</f>
        <v>5</v>
      </c>
      <c r="G490" t="s">
        <v>76</v>
      </c>
      <c r="H490" t="s">
        <v>17</v>
      </c>
      <c r="I490" t="s">
        <v>35</v>
      </c>
      <c r="J490">
        <v>1202</v>
      </c>
      <c r="K490">
        <v>14424</v>
      </c>
      <c r="L490">
        <v>4.5</v>
      </c>
      <c r="M490">
        <v>0</v>
      </c>
      <c r="N490">
        <v>0</v>
      </c>
      <c r="O490">
        <v>92</v>
      </c>
    </row>
    <row r="491" spans="1:15" x14ac:dyDescent="0.3">
      <c r="A491">
        <v>490</v>
      </c>
      <c r="B491" t="s">
        <v>691</v>
      </c>
      <c r="C491" t="s">
        <v>692</v>
      </c>
      <c r="D491" t="s">
        <v>306</v>
      </c>
      <c r="E491" s="1">
        <v>43156</v>
      </c>
      <c r="F491" s="2">
        <f ca="1">DATEDIF(EmpTable[[#This Row],[Start Date]],TODAY(),"Y")</f>
        <v>8</v>
      </c>
      <c r="G491" t="s">
        <v>57</v>
      </c>
      <c r="H491" t="s">
        <v>21</v>
      </c>
      <c r="I491" t="s">
        <v>18</v>
      </c>
      <c r="J491">
        <v>1158</v>
      </c>
      <c r="K491">
        <v>13896</v>
      </c>
      <c r="L491">
        <v>5</v>
      </c>
      <c r="M491">
        <v>0</v>
      </c>
      <c r="N491">
        <v>0</v>
      </c>
      <c r="O491">
        <v>7</v>
      </c>
    </row>
    <row r="492" spans="1:15" x14ac:dyDescent="0.3">
      <c r="A492">
        <v>491</v>
      </c>
      <c r="B492" t="s">
        <v>326</v>
      </c>
      <c r="C492" t="s">
        <v>693</v>
      </c>
      <c r="D492" t="s">
        <v>31</v>
      </c>
      <c r="E492" s="1">
        <v>43850</v>
      </c>
      <c r="F492" s="2">
        <f ca="1">DATEDIF(EmpTable[[#This Row],[Start Date]],TODAY(),"Y")</f>
        <v>6</v>
      </c>
      <c r="G492" t="s">
        <v>16</v>
      </c>
      <c r="H492" t="s">
        <v>17</v>
      </c>
      <c r="I492" t="s">
        <v>35</v>
      </c>
      <c r="J492">
        <v>1447</v>
      </c>
      <c r="K492">
        <v>17364</v>
      </c>
      <c r="L492">
        <v>3</v>
      </c>
      <c r="M492">
        <v>0</v>
      </c>
      <c r="N492">
        <v>0</v>
      </c>
      <c r="O492">
        <v>7</v>
      </c>
    </row>
    <row r="493" spans="1:15" x14ac:dyDescent="0.3">
      <c r="A493">
        <v>492</v>
      </c>
      <c r="B493" t="s">
        <v>222</v>
      </c>
      <c r="C493" t="s">
        <v>694</v>
      </c>
      <c r="D493" t="s">
        <v>31</v>
      </c>
      <c r="E493" s="1">
        <v>43731</v>
      </c>
      <c r="F493" s="2">
        <f ca="1">DATEDIF(EmpTable[[#This Row],[Start Date]],TODAY(),"Y")</f>
        <v>6</v>
      </c>
      <c r="G493" t="s">
        <v>38</v>
      </c>
      <c r="H493" t="s">
        <v>21</v>
      </c>
      <c r="I493" t="s">
        <v>897</v>
      </c>
      <c r="J493">
        <v>1598</v>
      </c>
      <c r="K493">
        <v>19176</v>
      </c>
      <c r="L493">
        <v>3</v>
      </c>
      <c r="M493">
        <v>0</v>
      </c>
      <c r="N493">
        <v>0</v>
      </c>
      <c r="O493">
        <v>95</v>
      </c>
    </row>
    <row r="494" spans="1:15" x14ac:dyDescent="0.3">
      <c r="A494">
        <v>493</v>
      </c>
      <c r="B494" t="s">
        <v>695</v>
      </c>
      <c r="C494" t="s">
        <v>696</v>
      </c>
      <c r="D494" t="s">
        <v>31</v>
      </c>
      <c r="E494" s="1">
        <v>43974</v>
      </c>
      <c r="F494" s="2">
        <f ca="1">DATEDIF(EmpTable[[#This Row],[Start Date]],TODAY(),"Y")</f>
        <v>5</v>
      </c>
      <c r="G494" t="s">
        <v>76</v>
      </c>
      <c r="H494" t="s">
        <v>28</v>
      </c>
      <c r="I494" t="s">
        <v>897</v>
      </c>
      <c r="J494">
        <v>1714</v>
      </c>
      <c r="K494">
        <v>20568</v>
      </c>
      <c r="L494">
        <v>5</v>
      </c>
      <c r="M494">
        <v>6</v>
      </c>
      <c r="N494">
        <v>0</v>
      </c>
      <c r="O494">
        <v>11</v>
      </c>
    </row>
    <row r="495" spans="1:15" x14ac:dyDescent="0.3">
      <c r="A495">
        <v>494</v>
      </c>
      <c r="B495" t="s">
        <v>301</v>
      </c>
      <c r="C495" t="s">
        <v>697</v>
      </c>
      <c r="D495" t="s">
        <v>31</v>
      </c>
      <c r="E495" s="1">
        <v>43038</v>
      </c>
      <c r="F495" s="2">
        <f ca="1">DATEDIF(EmpTable[[#This Row],[Start Date]],TODAY(),"Y")</f>
        <v>8</v>
      </c>
      <c r="G495" t="s">
        <v>92</v>
      </c>
      <c r="H495" t="s">
        <v>28</v>
      </c>
      <c r="I495" t="s">
        <v>18</v>
      </c>
      <c r="J495">
        <v>2994</v>
      </c>
      <c r="K495">
        <v>35928</v>
      </c>
      <c r="L495">
        <v>4.5</v>
      </c>
      <c r="M495">
        <v>1</v>
      </c>
      <c r="N495">
        <v>0</v>
      </c>
      <c r="O495">
        <v>4</v>
      </c>
    </row>
    <row r="496" spans="1:15" x14ac:dyDescent="0.3">
      <c r="A496">
        <v>495</v>
      </c>
      <c r="B496" t="s">
        <v>698</v>
      </c>
      <c r="C496" t="s">
        <v>699</v>
      </c>
      <c r="D496" t="s">
        <v>31</v>
      </c>
      <c r="E496" s="1">
        <v>43838</v>
      </c>
      <c r="F496" s="2">
        <f ca="1">DATEDIF(EmpTable[[#This Row],[Start Date]],TODAY(),"Y")</f>
        <v>6</v>
      </c>
      <c r="G496" t="s">
        <v>27</v>
      </c>
      <c r="H496" t="s">
        <v>21</v>
      </c>
      <c r="I496" t="s">
        <v>897</v>
      </c>
      <c r="J496">
        <v>2125</v>
      </c>
      <c r="K496">
        <v>25500</v>
      </c>
      <c r="L496">
        <v>4.5</v>
      </c>
      <c r="M496">
        <v>6</v>
      </c>
      <c r="N496">
        <v>0</v>
      </c>
      <c r="O496">
        <v>6</v>
      </c>
    </row>
    <row r="497" spans="1:15" x14ac:dyDescent="0.3">
      <c r="A497">
        <v>496</v>
      </c>
      <c r="B497" t="s">
        <v>646</v>
      </c>
      <c r="C497" t="s">
        <v>700</v>
      </c>
      <c r="D497" t="s">
        <v>306</v>
      </c>
      <c r="E497" s="1">
        <v>43493</v>
      </c>
      <c r="F497" s="2">
        <f ca="1">DATEDIF(EmpTable[[#This Row],[Start Date]],TODAY(),"Y")</f>
        <v>7</v>
      </c>
      <c r="G497" t="s">
        <v>76</v>
      </c>
      <c r="H497" t="s">
        <v>17</v>
      </c>
      <c r="I497" t="s">
        <v>41</v>
      </c>
      <c r="J497">
        <v>3059</v>
      </c>
      <c r="K497">
        <v>36708</v>
      </c>
      <c r="L497">
        <v>4.5</v>
      </c>
      <c r="M497">
        <v>5</v>
      </c>
      <c r="N497">
        <v>0</v>
      </c>
      <c r="O497">
        <v>9</v>
      </c>
    </row>
    <row r="498" spans="1:15" x14ac:dyDescent="0.3">
      <c r="A498">
        <v>497</v>
      </c>
      <c r="B498" t="s">
        <v>29</v>
      </c>
      <c r="C498" t="s">
        <v>701</v>
      </c>
      <c r="D498" t="s">
        <v>31</v>
      </c>
      <c r="E498" s="1">
        <v>43482</v>
      </c>
      <c r="F498" s="2">
        <f ca="1">DATEDIF(EmpTable[[#This Row],[Start Date]],TODAY(),"Y")</f>
        <v>7</v>
      </c>
      <c r="G498" t="s">
        <v>40</v>
      </c>
      <c r="H498" t="s">
        <v>28</v>
      </c>
      <c r="I498" t="s">
        <v>41</v>
      </c>
      <c r="J498">
        <v>2077</v>
      </c>
      <c r="K498">
        <v>24924</v>
      </c>
      <c r="L498">
        <v>5</v>
      </c>
      <c r="M498">
        <v>6</v>
      </c>
      <c r="N498">
        <v>0</v>
      </c>
      <c r="O498">
        <v>4</v>
      </c>
    </row>
    <row r="499" spans="1:15" x14ac:dyDescent="0.3">
      <c r="A499">
        <v>498</v>
      </c>
      <c r="B499" t="s">
        <v>702</v>
      </c>
      <c r="C499" t="s">
        <v>703</v>
      </c>
      <c r="D499" t="s">
        <v>31</v>
      </c>
      <c r="E499" s="1">
        <v>43351</v>
      </c>
      <c r="F499" s="2">
        <f ca="1">DATEDIF(EmpTable[[#This Row],[Start Date]],TODAY(),"Y")</f>
        <v>7</v>
      </c>
      <c r="G499" t="s">
        <v>27</v>
      </c>
      <c r="H499" t="s">
        <v>17</v>
      </c>
      <c r="I499" t="s">
        <v>18</v>
      </c>
      <c r="J499">
        <v>1962</v>
      </c>
      <c r="K499">
        <v>23544</v>
      </c>
      <c r="L499">
        <v>4.5</v>
      </c>
      <c r="M499">
        <v>6</v>
      </c>
      <c r="N499">
        <v>0</v>
      </c>
      <c r="O499">
        <v>10</v>
      </c>
    </row>
    <row r="500" spans="1:15" x14ac:dyDescent="0.3">
      <c r="A500">
        <v>499</v>
      </c>
      <c r="B500" t="s">
        <v>32</v>
      </c>
      <c r="C500" t="s">
        <v>704</v>
      </c>
      <c r="D500" t="s">
        <v>31</v>
      </c>
      <c r="E500" s="1">
        <v>43600</v>
      </c>
      <c r="F500" s="2">
        <f ca="1">DATEDIF(EmpTable[[#This Row],[Start Date]],TODAY(),"Y")</f>
        <v>6</v>
      </c>
      <c r="G500" t="s">
        <v>49</v>
      </c>
      <c r="H500" t="s">
        <v>17</v>
      </c>
      <c r="I500" t="s">
        <v>35</v>
      </c>
      <c r="J500">
        <v>1573</v>
      </c>
      <c r="K500">
        <v>18876</v>
      </c>
      <c r="L500">
        <v>3</v>
      </c>
      <c r="M500">
        <v>6</v>
      </c>
      <c r="N500">
        <v>0</v>
      </c>
      <c r="O500">
        <v>2</v>
      </c>
    </row>
    <row r="501" spans="1:15" x14ac:dyDescent="0.3">
      <c r="A501">
        <v>500</v>
      </c>
      <c r="B501" t="s">
        <v>432</v>
      </c>
      <c r="C501" t="s">
        <v>705</v>
      </c>
      <c r="D501" t="s">
        <v>306</v>
      </c>
      <c r="E501" s="1">
        <v>43642</v>
      </c>
      <c r="F501" s="2">
        <f ca="1">DATEDIF(EmpTable[[#This Row],[Start Date]],TODAY(),"Y")</f>
        <v>6</v>
      </c>
      <c r="G501" t="s">
        <v>40</v>
      </c>
      <c r="H501" t="s">
        <v>21</v>
      </c>
      <c r="I501" t="s">
        <v>35</v>
      </c>
      <c r="J501">
        <v>882</v>
      </c>
      <c r="K501">
        <v>10584</v>
      </c>
      <c r="L501">
        <v>5</v>
      </c>
      <c r="M501">
        <v>0</v>
      </c>
      <c r="N501">
        <v>0</v>
      </c>
      <c r="O501">
        <v>8</v>
      </c>
    </row>
    <row r="502" spans="1:15" x14ac:dyDescent="0.3">
      <c r="A502">
        <v>501</v>
      </c>
      <c r="B502" t="s">
        <v>646</v>
      </c>
      <c r="C502" t="s">
        <v>706</v>
      </c>
      <c r="D502" t="s">
        <v>306</v>
      </c>
      <c r="E502" s="1">
        <v>43398</v>
      </c>
      <c r="F502" s="2">
        <f ca="1">DATEDIF(EmpTable[[#This Row],[Start Date]],TODAY(),"Y")</f>
        <v>7</v>
      </c>
      <c r="G502" t="s">
        <v>27</v>
      </c>
      <c r="H502" t="s">
        <v>17</v>
      </c>
      <c r="I502" t="s">
        <v>18</v>
      </c>
      <c r="J502">
        <v>1036</v>
      </c>
      <c r="K502">
        <v>12432</v>
      </c>
      <c r="L502">
        <v>5</v>
      </c>
      <c r="M502">
        <v>0</v>
      </c>
      <c r="N502">
        <v>6</v>
      </c>
      <c r="O502">
        <v>2</v>
      </c>
    </row>
    <row r="503" spans="1:15" x14ac:dyDescent="0.3">
      <c r="A503">
        <v>502</v>
      </c>
      <c r="B503" t="s">
        <v>707</v>
      </c>
      <c r="C503" t="s">
        <v>708</v>
      </c>
      <c r="D503" t="s">
        <v>31</v>
      </c>
      <c r="E503" s="1">
        <v>42381</v>
      </c>
      <c r="F503" s="2">
        <f ca="1">DATEDIF(EmpTable[[#This Row],[Start Date]],TODAY(),"Y")</f>
        <v>10</v>
      </c>
      <c r="G503" t="s">
        <v>49</v>
      </c>
      <c r="H503" t="s">
        <v>17</v>
      </c>
      <c r="I503" t="s">
        <v>897</v>
      </c>
      <c r="J503">
        <v>2790</v>
      </c>
      <c r="K503">
        <v>33480</v>
      </c>
      <c r="L503">
        <v>1</v>
      </c>
      <c r="M503">
        <v>1</v>
      </c>
      <c r="N503">
        <v>0</v>
      </c>
      <c r="O503">
        <v>8</v>
      </c>
    </row>
    <row r="504" spans="1:15" x14ac:dyDescent="0.3">
      <c r="A504">
        <v>503</v>
      </c>
      <c r="B504" t="s">
        <v>68</v>
      </c>
      <c r="C504" t="s">
        <v>141</v>
      </c>
      <c r="D504" t="s">
        <v>31</v>
      </c>
      <c r="E504" s="1">
        <v>43693</v>
      </c>
      <c r="F504" s="2">
        <f ca="1">DATEDIF(EmpTable[[#This Row],[Start Date]],TODAY(),"Y")</f>
        <v>6</v>
      </c>
      <c r="G504" t="s">
        <v>27</v>
      </c>
      <c r="H504" t="s">
        <v>17</v>
      </c>
      <c r="I504" t="s">
        <v>41</v>
      </c>
      <c r="J504">
        <v>1951</v>
      </c>
      <c r="K504">
        <v>23412</v>
      </c>
      <c r="L504">
        <v>4.5</v>
      </c>
      <c r="M504">
        <v>1</v>
      </c>
      <c r="N504">
        <v>0</v>
      </c>
      <c r="O504">
        <v>8</v>
      </c>
    </row>
    <row r="505" spans="1:15" x14ac:dyDescent="0.3">
      <c r="A505">
        <v>504</v>
      </c>
      <c r="B505" t="s">
        <v>29</v>
      </c>
      <c r="C505" t="s">
        <v>392</v>
      </c>
      <c r="D505" t="s">
        <v>31</v>
      </c>
      <c r="E505" s="1">
        <v>43289</v>
      </c>
      <c r="F505" s="2">
        <f ca="1">DATEDIF(EmpTable[[#This Row],[Start Date]],TODAY(),"Y")</f>
        <v>7</v>
      </c>
      <c r="G505" t="s">
        <v>16</v>
      </c>
      <c r="H505" t="s">
        <v>17</v>
      </c>
      <c r="I505" t="s">
        <v>41</v>
      </c>
      <c r="J505">
        <v>2255</v>
      </c>
      <c r="K505">
        <v>27060</v>
      </c>
      <c r="L505">
        <v>5</v>
      </c>
      <c r="M505">
        <v>0</v>
      </c>
      <c r="N505">
        <v>4</v>
      </c>
      <c r="O505">
        <v>10</v>
      </c>
    </row>
    <row r="506" spans="1:15" x14ac:dyDescent="0.3">
      <c r="A506">
        <v>505</v>
      </c>
      <c r="B506" t="s">
        <v>709</v>
      </c>
      <c r="C506" t="s">
        <v>710</v>
      </c>
      <c r="D506" t="s">
        <v>306</v>
      </c>
      <c r="E506" s="1">
        <v>42903</v>
      </c>
      <c r="F506" s="2">
        <f ca="1">DATEDIF(EmpTable[[#This Row],[Start Date]],TODAY(),"Y")</f>
        <v>8</v>
      </c>
      <c r="G506" t="s">
        <v>117</v>
      </c>
      <c r="H506" t="s">
        <v>17</v>
      </c>
      <c r="I506" t="s">
        <v>897</v>
      </c>
      <c r="J506">
        <v>3388</v>
      </c>
      <c r="K506">
        <v>40656</v>
      </c>
      <c r="L506">
        <v>3</v>
      </c>
      <c r="M506">
        <v>3</v>
      </c>
      <c r="N506">
        <v>0</v>
      </c>
      <c r="O506">
        <v>0</v>
      </c>
    </row>
    <row r="507" spans="1:15" x14ac:dyDescent="0.3">
      <c r="A507">
        <v>506</v>
      </c>
      <c r="B507" t="s">
        <v>711</v>
      </c>
      <c r="C507" t="s">
        <v>712</v>
      </c>
      <c r="D507" t="s">
        <v>31</v>
      </c>
      <c r="E507" s="1">
        <v>44123</v>
      </c>
      <c r="F507" s="2">
        <f ca="1">DATEDIF(EmpTable[[#This Row],[Start Date]],TODAY(),"Y")</f>
        <v>5</v>
      </c>
      <c r="G507" t="s">
        <v>57</v>
      </c>
      <c r="H507" t="s">
        <v>17</v>
      </c>
      <c r="I507" t="s">
        <v>18</v>
      </c>
      <c r="J507">
        <v>707</v>
      </c>
      <c r="K507">
        <v>8484</v>
      </c>
      <c r="L507">
        <v>2</v>
      </c>
      <c r="M507">
        <v>1</v>
      </c>
      <c r="N507">
        <v>0</v>
      </c>
      <c r="O507">
        <v>9</v>
      </c>
    </row>
    <row r="508" spans="1:15" x14ac:dyDescent="0.3">
      <c r="A508">
        <v>507</v>
      </c>
      <c r="B508" t="s">
        <v>191</v>
      </c>
      <c r="C508" t="s">
        <v>713</v>
      </c>
      <c r="D508" t="s">
        <v>306</v>
      </c>
      <c r="E508" s="1">
        <v>43996</v>
      </c>
      <c r="F508" s="2">
        <f ca="1">DATEDIF(EmpTable[[#This Row],[Start Date]],TODAY(),"Y")</f>
        <v>5</v>
      </c>
      <c r="G508" t="s">
        <v>92</v>
      </c>
      <c r="H508" t="s">
        <v>17</v>
      </c>
      <c r="I508" t="s">
        <v>41</v>
      </c>
      <c r="J508">
        <v>1161</v>
      </c>
      <c r="K508">
        <v>13932</v>
      </c>
      <c r="L508">
        <v>5</v>
      </c>
      <c r="M508">
        <v>0</v>
      </c>
      <c r="N508">
        <v>0</v>
      </c>
      <c r="O508">
        <v>9</v>
      </c>
    </row>
    <row r="509" spans="1:15" x14ac:dyDescent="0.3">
      <c r="A509">
        <v>508</v>
      </c>
      <c r="B509" t="s">
        <v>714</v>
      </c>
      <c r="C509" t="s">
        <v>715</v>
      </c>
      <c r="D509" t="s">
        <v>31</v>
      </c>
      <c r="E509" s="1">
        <v>43572</v>
      </c>
      <c r="F509" s="2">
        <f ca="1">DATEDIF(EmpTable[[#This Row],[Start Date]],TODAY(),"Y")</f>
        <v>6</v>
      </c>
      <c r="G509" t="s">
        <v>16</v>
      </c>
      <c r="H509" t="s">
        <v>28</v>
      </c>
      <c r="I509" t="s">
        <v>41</v>
      </c>
      <c r="J509">
        <v>1165</v>
      </c>
      <c r="K509">
        <v>13980</v>
      </c>
      <c r="L509">
        <v>5</v>
      </c>
      <c r="M509">
        <v>0</v>
      </c>
      <c r="N509">
        <v>0</v>
      </c>
      <c r="O509">
        <v>9</v>
      </c>
    </row>
    <row r="510" spans="1:15" x14ac:dyDescent="0.3">
      <c r="A510">
        <v>509</v>
      </c>
      <c r="B510" t="s">
        <v>58</v>
      </c>
      <c r="C510" t="s">
        <v>598</v>
      </c>
      <c r="D510" t="s">
        <v>306</v>
      </c>
      <c r="E510" s="1">
        <v>43542</v>
      </c>
      <c r="F510" s="2">
        <f ca="1">DATEDIF(EmpTable[[#This Row],[Start Date]],TODAY(),"Y")</f>
        <v>6</v>
      </c>
      <c r="G510" t="s">
        <v>49</v>
      </c>
      <c r="H510" t="s">
        <v>28</v>
      </c>
      <c r="I510" t="s">
        <v>41</v>
      </c>
      <c r="J510">
        <v>1351</v>
      </c>
      <c r="K510">
        <v>16212</v>
      </c>
      <c r="L510">
        <v>5</v>
      </c>
      <c r="M510">
        <v>0</v>
      </c>
      <c r="N510">
        <v>0</v>
      </c>
      <c r="O510">
        <v>7</v>
      </c>
    </row>
    <row r="511" spans="1:15" x14ac:dyDescent="0.3">
      <c r="A511">
        <v>510</v>
      </c>
      <c r="B511" t="s">
        <v>598</v>
      </c>
      <c r="C511" t="s">
        <v>716</v>
      </c>
      <c r="D511" t="s">
        <v>31</v>
      </c>
      <c r="E511" s="1">
        <v>42649</v>
      </c>
      <c r="F511" s="2">
        <f ca="1">DATEDIF(EmpTable[[#This Row],[Start Date]],TODAY(),"Y")</f>
        <v>9</v>
      </c>
      <c r="G511" t="s">
        <v>34</v>
      </c>
      <c r="H511" t="s">
        <v>17</v>
      </c>
      <c r="I511" t="s">
        <v>897</v>
      </c>
      <c r="J511">
        <v>1406</v>
      </c>
      <c r="K511">
        <v>16872</v>
      </c>
      <c r="L511">
        <v>3</v>
      </c>
      <c r="M511">
        <v>0</v>
      </c>
      <c r="N511">
        <v>3</v>
      </c>
      <c r="O511">
        <v>7</v>
      </c>
    </row>
    <row r="512" spans="1:15" x14ac:dyDescent="0.3">
      <c r="A512">
        <v>511</v>
      </c>
      <c r="B512" t="s">
        <v>717</v>
      </c>
      <c r="C512" t="s">
        <v>718</v>
      </c>
      <c r="D512" t="s">
        <v>306</v>
      </c>
      <c r="E512" s="1">
        <v>43473</v>
      </c>
      <c r="F512" s="2">
        <f ca="1">DATEDIF(EmpTable[[#This Row],[Start Date]],TODAY(),"Y")</f>
        <v>7</v>
      </c>
      <c r="G512" t="s">
        <v>40</v>
      </c>
      <c r="H512" t="s">
        <v>21</v>
      </c>
      <c r="I512" t="s">
        <v>41</v>
      </c>
      <c r="J512">
        <v>1699</v>
      </c>
      <c r="K512">
        <v>20388</v>
      </c>
      <c r="L512">
        <v>5</v>
      </c>
      <c r="M512">
        <v>0</v>
      </c>
      <c r="N512">
        <v>2</v>
      </c>
      <c r="O512">
        <v>5</v>
      </c>
    </row>
    <row r="513" spans="1:15" x14ac:dyDescent="0.3">
      <c r="A513">
        <v>512</v>
      </c>
      <c r="B513" t="s">
        <v>387</v>
      </c>
      <c r="C513" t="s">
        <v>340</v>
      </c>
      <c r="D513" t="s">
        <v>31</v>
      </c>
      <c r="E513" s="1">
        <v>43043</v>
      </c>
      <c r="F513" s="2">
        <f ca="1">DATEDIF(EmpTable[[#This Row],[Start Date]],TODAY(),"Y")</f>
        <v>8</v>
      </c>
      <c r="G513" t="s">
        <v>52</v>
      </c>
      <c r="H513" t="s">
        <v>17</v>
      </c>
      <c r="I513" t="s">
        <v>35</v>
      </c>
      <c r="J513">
        <v>3007</v>
      </c>
      <c r="K513">
        <v>36084</v>
      </c>
      <c r="L513">
        <v>5</v>
      </c>
      <c r="M513">
        <v>0</v>
      </c>
      <c r="N513">
        <v>6</v>
      </c>
      <c r="O513">
        <v>11</v>
      </c>
    </row>
    <row r="514" spans="1:15" x14ac:dyDescent="0.3">
      <c r="A514">
        <v>513</v>
      </c>
      <c r="B514" t="s">
        <v>719</v>
      </c>
      <c r="C514" t="s">
        <v>720</v>
      </c>
      <c r="D514" t="s">
        <v>306</v>
      </c>
      <c r="E514" s="1">
        <v>44008</v>
      </c>
      <c r="F514" s="2">
        <f ca="1">DATEDIF(EmpTable[[#This Row],[Start Date]],TODAY(),"Y")</f>
        <v>5</v>
      </c>
      <c r="G514" t="s">
        <v>34</v>
      </c>
      <c r="H514" t="s">
        <v>17</v>
      </c>
      <c r="I514" t="s">
        <v>41</v>
      </c>
      <c r="J514">
        <v>879</v>
      </c>
      <c r="K514">
        <v>10548</v>
      </c>
      <c r="L514">
        <v>3</v>
      </c>
      <c r="M514">
        <v>0</v>
      </c>
      <c r="N514">
        <v>0</v>
      </c>
      <c r="O514">
        <v>1</v>
      </c>
    </row>
    <row r="515" spans="1:15" x14ac:dyDescent="0.3">
      <c r="A515">
        <v>514</v>
      </c>
      <c r="B515" t="s">
        <v>32</v>
      </c>
      <c r="C515" t="s">
        <v>721</v>
      </c>
      <c r="D515" t="s">
        <v>31</v>
      </c>
      <c r="E515" s="1">
        <v>43586</v>
      </c>
      <c r="F515" s="2">
        <f ca="1">DATEDIF(EmpTable[[#This Row],[Start Date]],TODAY(),"Y")</f>
        <v>6</v>
      </c>
      <c r="G515" t="s">
        <v>76</v>
      </c>
      <c r="H515" t="s">
        <v>293</v>
      </c>
      <c r="I515" t="s">
        <v>35</v>
      </c>
      <c r="J515">
        <v>2537</v>
      </c>
      <c r="K515">
        <v>30444</v>
      </c>
      <c r="L515">
        <v>2</v>
      </c>
      <c r="M515">
        <v>0</v>
      </c>
      <c r="N515">
        <v>0</v>
      </c>
      <c r="O515">
        <v>3</v>
      </c>
    </row>
    <row r="516" spans="1:15" x14ac:dyDescent="0.3">
      <c r="A516">
        <v>515</v>
      </c>
      <c r="B516" t="s">
        <v>32</v>
      </c>
      <c r="C516" t="s">
        <v>369</v>
      </c>
      <c r="D516" t="s">
        <v>31</v>
      </c>
      <c r="E516" s="1">
        <v>44150</v>
      </c>
      <c r="F516" s="2">
        <f ca="1">DATEDIF(EmpTable[[#This Row],[Start Date]],TODAY(),"Y")</f>
        <v>5</v>
      </c>
      <c r="G516" t="s">
        <v>40</v>
      </c>
      <c r="H516" t="s">
        <v>17</v>
      </c>
      <c r="I516" t="s">
        <v>35</v>
      </c>
      <c r="J516">
        <v>2663</v>
      </c>
      <c r="K516">
        <v>31956</v>
      </c>
      <c r="L516">
        <v>3</v>
      </c>
      <c r="M516">
        <v>0</v>
      </c>
      <c r="N516">
        <v>0</v>
      </c>
      <c r="O516">
        <v>2</v>
      </c>
    </row>
    <row r="517" spans="1:15" x14ac:dyDescent="0.3">
      <c r="A517">
        <v>516</v>
      </c>
      <c r="B517" t="s">
        <v>397</v>
      </c>
      <c r="C517" t="s">
        <v>312</v>
      </c>
      <c r="D517" t="s">
        <v>31</v>
      </c>
      <c r="E517" s="1">
        <v>44119</v>
      </c>
      <c r="F517" s="2">
        <f ca="1">DATEDIF(EmpTable[[#This Row],[Start Date]],TODAY(),"Y")</f>
        <v>5</v>
      </c>
      <c r="G517" t="s">
        <v>16</v>
      </c>
      <c r="H517" t="s">
        <v>17</v>
      </c>
      <c r="I517" t="s">
        <v>41</v>
      </c>
      <c r="J517">
        <v>2494</v>
      </c>
      <c r="K517">
        <v>29928</v>
      </c>
      <c r="L517">
        <v>4.5</v>
      </c>
      <c r="M517">
        <v>2</v>
      </c>
      <c r="N517">
        <v>0</v>
      </c>
      <c r="O517">
        <v>2</v>
      </c>
    </row>
    <row r="518" spans="1:15" x14ac:dyDescent="0.3">
      <c r="A518">
        <v>517</v>
      </c>
      <c r="B518" t="s">
        <v>722</v>
      </c>
      <c r="C518" t="s">
        <v>723</v>
      </c>
      <c r="D518" t="s">
        <v>306</v>
      </c>
      <c r="E518" s="1">
        <v>43775</v>
      </c>
      <c r="F518" s="2">
        <f ca="1">DATEDIF(EmpTable[[#This Row],[Start Date]],TODAY(),"Y")</f>
        <v>6</v>
      </c>
      <c r="G518" t="s">
        <v>162</v>
      </c>
      <c r="H518" t="s">
        <v>28</v>
      </c>
      <c r="I518" t="s">
        <v>35</v>
      </c>
      <c r="J518">
        <v>2585</v>
      </c>
      <c r="K518">
        <v>31020</v>
      </c>
      <c r="L518">
        <v>5</v>
      </c>
      <c r="M518">
        <v>1</v>
      </c>
      <c r="N518">
        <v>5</v>
      </c>
      <c r="O518">
        <v>7</v>
      </c>
    </row>
    <row r="519" spans="1:15" x14ac:dyDescent="0.3">
      <c r="A519">
        <v>518</v>
      </c>
      <c r="B519" t="s">
        <v>32</v>
      </c>
      <c r="C519" t="s">
        <v>312</v>
      </c>
      <c r="D519" t="s">
        <v>31</v>
      </c>
      <c r="E519" s="1">
        <v>43809</v>
      </c>
      <c r="F519" s="2">
        <f ca="1">DATEDIF(EmpTable[[#This Row],[Start Date]],TODAY(),"Y")</f>
        <v>6</v>
      </c>
      <c r="G519" t="s">
        <v>44</v>
      </c>
      <c r="H519" t="s">
        <v>28</v>
      </c>
      <c r="I519" t="s">
        <v>41</v>
      </c>
      <c r="J519">
        <v>1776</v>
      </c>
      <c r="K519">
        <v>21312</v>
      </c>
      <c r="L519">
        <v>2</v>
      </c>
      <c r="M519">
        <v>0</v>
      </c>
      <c r="N519">
        <v>0</v>
      </c>
      <c r="O519">
        <v>0</v>
      </c>
    </row>
    <row r="520" spans="1:15" x14ac:dyDescent="0.3">
      <c r="A520">
        <v>519</v>
      </c>
      <c r="B520" t="s">
        <v>88</v>
      </c>
      <c r="C520" t="s">
        <v>724</v>
      </c>
      <c r="D520" t="s">
        <v>306</v>
      </c>
      <c r="E520" s="1">
        <v>42993</v>
      </c>
      <c r="F520" s="2">
        <f ca="1">DATEDIF(EmpTable[[#This Row],[Start Date]],TODAY(),"Y")</f>
        <v>8</v>
      </c>
      <c r="G520" t="s">
        <v>52</v>
      </c>
      <c r="H520" t="s">
        <v>17</v>
      </c>
      <c r="I520" t="s">
        <v>35</v>
      </c>
      <c r="J520">
        <v>3055</v>
      </c>
      <c r="K520">
        <v>36660</v>
      </c>
      <c r="L520">
        <v>3</v>
      </c>
      <c r="M520">
        <v>0</v>
      </c>
      <c r="N520">
        <v>4</v>
      </c>
      <c r="O520">
        <v>9</v>
      </c>
    </row>
    <row r="521" spans="1:15" x14ac:dyDescent="0.3">
      <c r="A521">
        <v>520</v>
      </c>
      <c r="B521" t="s">
        <v>66</v>
      </c>
      <c r="C521" t="s">
        <v>725</v>
      </c>
      <c r="D521" t="s">
        <v>31</v>
      </c>
      <c r="E521" s="1">
        <v>43113</v>
      </c>
      <c r="F521" s="2">
        <f ca="1">DATEDIF(EmpTable[[#This Row],[Start Date]],TODAY(),"Y")</f>
        <v>8</v>
      </c>
      <c r="G521" t="s">
        <v>27</v>
      </c>
      <c r="H521" t="s">
        <v>21</v>
      </c>
      <c r="I521" t="s">
        <v>41</v>
      </c>
      <c r="J521">
        <v>1707</v>
      </c>
      <c r="K521">
        <v>20484</v>
      </c>
      <c r="L521">
        <v>3</v>
      </c>
      <c r="M521">
        <v>0</v>
      </c>
      <c r="N521">
        <v>0</v>
      </c>
      <c r="O521">
        <v>4</v>
      </c>
    </row>
    <row r="522" spans="1:15" x14ac:dyDescent="0.3">
      <c r="A522">
        <v>521</v>
      </c>
      <c r="B522" t="s">
        <v>29</v>
      </c>
      <c r="C522" t="s">
        <v>726</v>
      </c>
      <c r="D522" t="s">
        <v>31</v>
      </c>
      <c r="E522" s="1">
        <v>43643</v>
      </c>
      <c r="F522" s="2">
        <f ca="1">DATEDIF(EmpTable[[#This Row],[Start Date]],TODAY(),"Y")</f>
        <v>6</v>
      </c>
      <c r="G522" t="s">
        <v>52</v>
      </c>
      <c r="H522" t="s">
        <v>28</v>
      </c>
      <c r="I522" t="s">
        <v>41</v>
      </c>
      <c r="J522">
        <v>2719</v>
      </c>
      <c r="K522">
        <v>32628</v>
      </c>
      <c r="L522">
        <v>3</v>
      </c>
      <c r="M522">
        <v>0</v>
      </c>
      <c r="N522">
        <v>0</v>
      </c>
      <c r="O522">
        <v>7</v>
      </c>
    </row>
    <row r="523" spans="1:15" x14ac:dyDescent="0.3">
      <c r="A523">
        <v>522</v>
      </c>
      <c r="B523" t="s">
        <v>727</v>
      </c>
      <c r="C523" t="s">
        <v>182</v>
      </c>
      <c r="D523" t="s">
        <v>31</v>
      </c>
      <c r="E523" s="1">
        <v>44182</v>
      </c>
      <c r="F523" s="2">
        <f ca="1">DATEDIF(EmpTable[[#This Row],[Start Date]],TODAY(),"Y")</f>
        <v>5</v>
      </c>
      <c r="G523" t="s">
        <v>57</v>
      </c>
      <c r="H523" t="s">
        <v>17</v>
      </c>
      <c r="I523" t="s">
        <v>59</v>
      </c>
      <c r="J523">
        <v>1715</v>
      </c>
      <c r="K523">
        <v>20580</v>
      </c>
      <c r="L523">
        <v>3</v>
      </c>
      <c r="M523">
        <v>0</v>
      </c>
      <c r="N523">
        <v>0</v>
      </c>
      <c r="O523">
        <v>10</v>
      </c>
    </row>
    <row r="524" spans="1:15" x14ac:dyDescent="0.3">
      <c r="A524">
        <v>523</v>
      </c>
      <c r="B524" t="s">
        <v>32</v>
      </c>
      <c r="C524" t="s">
        <v>728</v>
      </c>
      <c r="D524" t="s">
        <v>31</v>
      </c>
      <c r="E524" s="1">
        <v>43487</v>
      </c>
      <c r="F524" s="2">
        <f ca="1">DATEDIF(EmpTable[[#This Row],[Start Date]],TODAY(),"Y")</f>
        <v>7</v>
      </c>
      <c r="G524" t="s">
        <v>27</v>
      </c>
      <c r="H524" t="s">
        <v>17</v>
      </c>
      <c r="I524" t="s">
        <v>18</v>
      </c>
      <c r="J524">
        <v>2181</v>
      </c>
      <c r="K524">
        <v>26172</v>
      </c>
      <c r="L524">
        <v>2</v>
      </c>
      <c r="M524">
        <v>0</v>
      </c>
      <c r="N524">
        <v>0</v>
      </c>
      <c r="O524">
        <v>1</v>
      </c>
    </row>
    <row r="525" spans="1:15" x14ac:dyDescent="0.3">
      <c r="A525">
        <v>524</v>
      </c>
      <c r="B525" t="s">
        <v>374</v>
      </c>
      <c r="C525" t="s">
        <v>574</v>
      </c>
      <c r="D525" t="s">
        <v>306</v>
      </c>
      <c r="E525" s="1">
        <v>43086</v>
      </c>
      <c r="F525" s="2">
        <f ca="1">DATEDIF(EmpTable[[#This Row],[Start Date]],TODAY(),"Y")</f>
        <v>8</v>
      </c>
      <c r="G525" t="s">
        <v>27</v>
      </c>
      <c r="H525" t="s">
        <v>28</v>
      </c>
      <c r="I525" t="s">
        <v>35</v>
      </c>
      <c r="J525">
        <v>1382</v>
      </c>
      <c r="K525">
        <v>16584</v>
      </c>
      <c r="L525">
        <v>5</v>
      </c>
      <c r="M525">
        <v>0</v>
      </c>
      <c r="N525">
        <v>4</v>
      </c>
      <c r="O525">
        <v>8</v>
      </c>
    </row>
    <row r="526" spans="1:15" x14ac:dyDescent="0.3">
      <c r="A526">
        <v>525</v>
      </c>
      <c r="B526" t="s">
        <v>374</v>
      </c>
      <c r="C526" t="s">
        <v>141</v>
      </c>
      <c r="D526" t="s">
        <v>306</v>
      </c>
      <c r="E526" s="1">
        <v>43957</v>
      </c>
      <c r="F526" s="2">
        <f ca="1">DATEDIF(EmpTable[[#This Row],[Start Date]],TODAY(),"Y")</f>
        <v>5</v>
      </c>
      <c r="G526" t="s">
        <v>27</v>
      </c>
      <c r="H526" t="s">
        <v>17</v>
      </c>
      <c r="I526" t="s">
        <v>35</v>
      </c>
      <c r="J526">
        <v>3350</v>
      </c>
      <c r="K526">
        <v>40200</v>
      </c>
      <c r="L526">
        <v>2</v>
      </c>
      <c r="M526">
        <v>0</v>
      </c>
      <c r="N526">
        <v>0</v>
      </c>
      <c r="O526">
        <v>8</v>
      </c>
    </row>
    <row r="527" spans="1:15" x14ac:dyDescent="0.3">
      <c r="A527">
        <v>526</v>
      </c>
      <c r="B527" t="s">
        <v>729</v>
      </c>
      <c r="C527" t="s">
        <v>730</v>
      </c>
      <c r="D527" t="s">
        <v>31</v>
      </c>
      <c r="E527" s="1">
        <v>43960</v>
      </c>
      <c r="F527" s="2">
        <f ca="1">DATEDIF(EmpTable[[#This Row],[Start Date]],TODAY(),"Y")</f>
        <v>5</v>
      </c>
      <c r="G527" t="s">
        <v>52</v>
      </c>
      <c r="H527" t="s">
        <v>28</v>
      </c>
      <c r="I527" t="s">
        <v>897</v>
      </c>
      <c r="J527">
        <v>1710</v>
      </c>
      <c r="K527">
        <v>20520</v>
      </c>
      <c r="L527">
        <v>5</v>
      </c>
      <c r="M527">
        <v>0</v>
      </c>
      <c r="N527">
        <v>0</v>
      </c>
      <c r="O527">
        <v>9</v>
      </c>
    </row>
    <row r="528" spans="1:15" x14ac:dyDescent="0.3">
      <c r="A528">
        <v>527</v>
      </c>
      <c r="B528" t="s">
        <v>731</v>
      </c>
      <c r="C528" t="s">
        <v>732</v>
      </c>
      <c r="D528" t="s">
        <v>31</v>
      </c>
      <c r="E528" s="1">
        <v>43593</v>
      </c>
      <c r="F528" s="2">
        <f ca="1">DATEDIF(EmpTable[[#This Row],[Start Date]],TODAY(),"Y")</f>
        <v>6</v>
      </c>
      <c r="G528" t="s">
        <v>27</v>
      </c>
      <c r="H528" t="s">
        <v>28</v>
      </c>
      <c r="I528" t="s">
        <v>41</v>
      </c>
      <c r="J528">
        <v>2785</v>
      </c>
      <c r="K528">
        <v>33420</v>
      </c>
      <c r="L528">
        <v>1</v>
      </c>
      <c r="M528">
        <v>0</v>
      </c>
      <c r="N528">
        <v>4</v>
      </c>
      <c r="O528">
        <v>3</v>
      </c>
    </row>
    <row r="529" spans="1:15" x14ac:dyDescent="0.3">
      <c r="A529">
        <v>528</v>
      </c>
      <c r="B529" t="s">
        <v>733</v>
      </c>
      <c r="C529" t="s">
        <v>574</v>
      </c>
      <c r="D529" t="s">
        <v>306</v>
      </c>
      <c r="E529" s="1">
        <v>43784</v>
      </c>
      <c r="F529" s="2">
        <f ca="1">DATEDIF(EmpTable[[#This Row],[Start Date]],TODAY(),"Y")</f>
        <v>6</v>
      </c>
      <c r="G529" t="s">
        <v>199</v>
      </c>
      <c r="H529" t="s">
        <v>28</v>
      </c>
      <c r="I529" t="s">
        <v>41</v>
      </c>
      <c r="J529">
        <v>2425</v>
      </c>
      <c r="K529">
        <v>29100</v>
      </c>
      <c r="L529">
        <v>4.5</v>
      </c>
      <c r="M529">
        <v>0</v>
      </c>
      <c r="N529">
        <v>0</v>
      </c>
      <c r="O529">
        <v>10</v>
      </c>
    </row>
    <row r="530" spans="1:15" x14ac:dyDescent="0.3">
      <c r="A530">
        <v>529</v>
      </c>
      <c r="B530" t="s">
        <v>32</v>
      </c>
      <c r="C530" t="s">
        <v>734</v>
      </c>
      <c r="D530" t="s">
        <v>31</v>
      </c>
      <c r="E530" s="1">
        <v>43309</v>
      </c>
      <c r="F530" s="2">
        <f ca="1">DATEDIF(EmpTable[[#This Row],[Start Date]],TODAY(),"Y")</f>
        <v>7</v>
      </c>
      <c r="G530" t="s">
        <v>57</v>
      </c>
      <c r="H530" t="s">
        <v>17</v>
      </c>
      <c r="I530" t="s">
        <v>59</v>
      </c>
      <c r="J530">
        <v>1117</v>
      </c>
      <c r="K530">
        <v>13404</v>
      </c>
      <c r="L530">
        <v>3</v>
      </c>
      <c r="M530">
        <v>3</v>
      </c>
      <c r="N530">
        <v>0</v>
      </c>
      <c r="O530">
        <v>8</v>
      </c>
    </row>
    <row r="531" spans="1:15" x14ac:dyDescent="0.3">
      <c r="A531">
        <v>530</v>
      </c>
      <c r="B531" t="s">
        <v>356</v>
      </c>
      <c r="C531" t="s">
        <v>735</v>
      </c>
      <c r="D531" t="s">
        <v>31</v>
      </c>
      <c r="E531" s="1">
        <v>43582</v>
      </c>
      <c r="F531" s="2">
        <f ca="1">DATEDIF(EmpTable[[#This Row],[Start Date]],TODAY(),"Y")</f>
        <v>6</v>
      </c>
      <c r="G531" t="s">
        <v>40</v>
      </c>
      <c r="H531" t="s">
        <v>17</v>
      </c>
      <c r="I531" t="s">
        <v>41</v>
      </c>
      <c r="J531">
        <v>1112</v>
      </c>
      <c r="K531">
        <v>13344</v>
      </c>
      <c r="L531">
        <v>5</v>
      </c>
      <c r="M531">
        <v>1</v>
      </c>
      <c r="N531">
        <v>6</v>
      </c>
      <c r="O531">
        <v>40</v>
      </c>
    </row>
    <row r="532" spans="1:15" x14ac:dyDescent="0.3">
      <c r="A532">
        <v>531</v>
      </c>
      <c r="B532" t="s">
        <v>85</v>
      </c>
      <c r="C532" t="s">
        <v>736</v>
      </c>
      <c r="D532" t="s">
        <v>31</v>
      </c>
      <c r="E532" s="1">
        <v>43944</v>
      </c>
      <c r="F532" s="2">
        <f ca="1">DATEDIF(EmpTable[[#This Row],[Start Date]],TODAY(),"Y")</f>
        <v>5</v>
      </c>
      <c r="G532" t="s">
        <v>57</v>
      </c>
      <c r="H532" t="s">
        <v>17</v>
      </c>
      <c r="I532" t="s">
        <v>18</v>
      </c>
      <c r="J532">
        <v>1928</v>
      </c>
      <c r="K532">
        <v>23136</v>
      </c>
      <c r="L532">
        <v>4.5</v>
      </c>
      <c r="M532">
        <v>6</v>
      </c>
      <c r="N532">
        <v>0</v>
      </c>
      <c r="O532">
        <v>1</v>
      </c>
    </row>
    <row r="533" spans="1:15" x14ac:dyDescent="0.3">
      <c r="A533">
        <v>532</v>
      </c>
      <c r="B533" t="s">
        <v>698</v>
      </c>
      <c r="C533" t="s">
        <v>79</v>
      </c>
      <c r="D533" t="s">
        <v>306</v>
      </c>
      <c r="E533" s="1">
        <v>43410</v>
      </c>
      <c r="F533" s="2">
        <f ca="1">DATEDIF(EmpTable[[#This Row],[Start Date]],TODAY(),"Y")</f>
        <v>7</v>
      </c>
      <c r="G533" t="s">
        <v>52</v>
      </c>
      <c r="H533" t="s">
        <v>21</v>
      </c>
      <c r="I533" t="s">
        <v>18</v>
      </c>
      <c r="J533">
        <v>3300</v>
      </c>
      <c r="K533">
        <v>39600</v>
      </c>
      <c r="L533">
        <v>5</v>
      </c>
      <c r="M533">
        <v>0</v>
      </c>
      <c r="N533">
        <v>0</v>
      </c>
      <c r="O533">
        <v>4</v>
      </c>
    </row>
    <row r="534" spans="1:15" x14ac:dyDescent="0.3">
      <c r="A534">
        <v>533</v>
      </c>
      <c r="B534" t="s">
        <v>68</v>
      </c>
      <c r="C534" t="s">
        <v>737</v>
      </c>
      <c r="D534" t="s">
        <v>31</v>
      </c>
      <c r="E534" s="1">
        <v>44027</v>
      </c>
      <c r="F534" s="2">
        <f ca="1">DATEDIF(EmpTable[[#This Row],[Start Date]],TODAY(),"Y")</f>
        <v>5</v>
      </c>
      <c r="G534" t="s">
        <v>57</v>
      </c>
      <c r="H534" t="s">
        <v>17</v>
      </c>
      <c r="I534" t="s">
        <v>35</v>
      </c>
      <c r="J534">
        <v>2378</v>
      </c>
      <c r="K534">
        <v>28536</v>
      </c>
      <c r="L534">
        <v>5</v>
      </c>
      <c r="M534">
        <v>0</v>
      </c>
      <c r="N534">
        <v>0</v>
      </c>
      <c r="O534">
        <v>5</v>
      </c>
    </row>
    <row r="535" spans="1:15" x14ac:dyDescent="0.3">
      <c r="A535">
        <v>534</v>
      </c>
      <c r="B535" t="s">
        <v>32</v>
      </c>
      <c r="C535" t="s">
        <v>738</v>
      </c>
      <c r="D535" t="s">
        <v>31</v>
      </c>
      <c r="E535" s="1">
        <v>42547</v>
      </c>
      <c r="F535" s="2">
        <f ca="1">DATEDIF(EmpTable[[#This Row],[Start Date]],TODAY(),"Y")</f>
        <v>9</v>
      </c>
      <c r="G535" t="s">
        <v>16</v>
      </c>
      <c r="H535" t="s">
        <v>28</v>
      </c>
      <c r="I535" t="s">
        <v>41</v>
      </c>
      <c r="J535">
        <v>3138</v>
      </c>
      <c r="K535">
        <v>37656</v>
      </c>
      <c r="L535">
        <v>5</v>
      </c>
      <c r="M535">
        <v>0</v>
      </c>
      <c r="N535">
        <v>0</v>
      </c>
      <c r="O535">
        <v>10</v>
      </c>
    </row>
    <row r="536" spans="1:15" x14ac:dyDescent="0.3">
      <c r="A536">
        <v>535</v>
      </c>
      <c r="B536" t="s">
        <v>29</v>
      </c>
      <c r="C536" t="s">
        <v>739</v>
      </c>
      <c r="D536" t="s">
        <v>31</v>
      </c>
      <c r="E536" s="1">
        <v>42945</v>
      </c>
      <c r="F536" s="2">
        <f ca="1">DATEDIF(EmpTable[[#This Row],[Start Date]],TODAY(),"Y")</f>
        <v>8</v>
      </c>
      <c r="G536" t="s">
        <v>27</v>
      </c>
      <c r="H536" t="s">
        <v>28</v>
      </c>
      <c r="I536" t="s">
        <v>41</v>
      </c>
      <c r="J536">
        <v>1981</v>
      </c>
      <c r="K536">
        <v>23772</v>
      </c>
      <c r="L536">
        <v>5</v>
      </c>
      <c r="M536">
        <v>1</v>
      </c>
      <c r="N536">
        <v>0</v>
      </c>
      <c r="O536">
        <v>3</v>
      </c>
    </row>
    <row r="537" spans="1:15" x14ac:dyDescent="0.3">
      <c r="A537">
        <v>536</v>
      </c>
      <c r="B537" t="s">
        <v>562</v>
      </c>
      <c r="C537" t="s">
        <v>740</v>
      </c>
      <c r="D537" t="s">
        <v>306</v>
      </c>
      <c r="E537" s="1">
        <v>43265</v>
      </c>
      <c r="F537" s="2">
        <f ca="1">DATEDIF(EmpTable[[#This Row],[Start Date]],TODAY(),"Y")</f>
        <v>7</v>
      </c>
      <c r="G537" t="s">
        <v>27</v>
      </c>
      <c r="H537" t="s">
        <v>21</v>
      </c>
      <c r="I537" t="s">
        <v>35</v>
      </c>
      <c r="J537">
        <v>1056</v>
      </c>
      <c r="K537">
        <v>12672</v>
      </c>
      <c r="L537">
        <v>3</v>
      </c>
      <c r="M537">
        <v>0</v>
      </c>
      <c r="N537">
        <v>0</v>
      </c>
      <c r="O537">
        <v>94</v>
      </c>
    </row>
    <row r="538" spans="1:15" x14ac:dyDescent="0.3">
      <c r="A538">
        <v>537</v>
      </c>
      <c r="B538" t="s">
        <v>32</v>
      </c>
      <c r="C538" t="s">
        <v>741</v>
      </c>
      <c r="D538" t="s">
        <v>31</v>
      </c>
      <c r="E538" s="1">
        <v>43830</v>
      </c>
      <c r="F538" s="2">
        <f ca="1">DATEDIF(EmpTable[[#This Row],[Start Date]],TODAY(),"Y")</f>
        <v>6</v>
      </c>
      <c r="G538" t="s">
        <v>52</v>
      </c>
      <c r="H538" t="s">
        <v>17</v>
      </c>
      <c r="I538" t="s">
        <v>897</v>
      </c>
      <c r="J538">
        <v>3295</v>
      </c>
      <c r="K538">
        <v>39540</v>
      </c>
      <c r="L538">
        <v>5</v>
      </c>
      <c r="M538">
        <v>0</v>
      </c>
      <c r="N538">
        <v>0</v>
      </c>
      <c r="O538">
        <v>2</v>
      </c>
    </row>
    <row r="539" spans="1:15" x14ac:dyDescent="0.3">
      <c r="A539">
        <v>538</v>
      </c>
      <c r="B539" t="s">
        <v>742</v>
      </c>
      <c r="C539" t="s">
        <v>743</v>
      </c>
      <c r="D539" t="s">
        <v>31</v>
      </c>
      <c r="E539" s="1">
        <v>43746</v>
      </c>
      <c r="F539" s="2">
        <f ca="1">DATEDIF(EmpTable[[#This Row],[Start Date]],TODAY(),"Y")</f>
        <v>6</v>
      </c>
      <c r="G539" t="s">
        <v>52</v>
      </c>
      <c r="H539" t="s">
        <v>17</v>
      </c>
      <c r="I539" t="s">
        <v>35</v>
      </c>
      <c r="J539">
        <v>1022</v>
      </c>
      <c r="K539">
        <v>12264</v>
      </c>
      <c r="L539">
        <v>4.5</v>
      </c>
      <c r="M539">
        <v>1</v>
      </c>
      <c r="N539">
        <v>0</v>
      </c>
      <c r="O539">
        <v>2</v>
      </c>
    </row>
    <row r="540" spans="1:15" x14ac:dyDescent="0.3">
      <c r="A540">
        <v>539</v>
      </c>
      <c r="B540" t="s">
        <v>70</v>
      </c>
      <c r="C540" t="s">
        <v>744</v>
      </c>
      <c r="D540" t="s">
        <v>31</v>
      </c>
      <c r="E540" s="1">
        <v>44125</v>
      </c>
      <c r="F540" s="2">
        <f ca="1">DATEDIF(EmpTable[[#This Row],[Start Date]],TODAY(),"Y")</f>
        <v>5</v>
      </c>
      <c r="G540" t="s">
        <v>44</v>
      </c>
      <c r="H540" t="s">
        <v>28</v>
      </c>
      <c r="I540" t="s">
        <v>41</v>
      </c>
      <c r="J540">
        <v>969</v>
      </c>
      <c r="K540">
        <v>11628</v>
      </c>
      <c r="L540">
        <v>3</v>
      </c>
      <c r="M540">
        <v>1</v>
      </c>
      <c r="N540">
        <v>0</v>
      </c>
      <c r="O540">
        <v>0</v>
      </c>
    </row>
    <row r="541" spans="1:15" x14ac:dyDescent="0.3">
      <c r="A541">
        <v>540</v>
      </c>
      <c r="B541" t="s">
        <v>29</v>
      </c>
      <c r="C541" t="s">
        <v>745</v>
      </c>
      <c r="D541" t="s">
        <v>31</v>
      </c>
      <c r="E541" s="1">
        <v>43568</v>
      </c>
      <c r="F541" s="2">
        <f ca="1">DATEDIF(EmpTable[[#This Row],[Start Date]],TODAY(),"Y")</f>
        <v>6</v>
      </c>
      <c r="G541" t="s">
        <v>92</v>
      </c>
      <c r="H541" t="s">
        <v>17</v>
      </c>
      <c r="I541" t="s">
        <v>35</v>
      </c>
      <c r="J541">
        <v>3354</v>
      </c>
      <c r="K541">
        <v>40248</v>
      </c>
      <c r="L541">
        <v>4.5</v>
      </c>
      <c r="M541">
        <v>3</v>
      </c>
      <c r="N541">
        <v>0</v>
      </c>
      <c r="O541">
        <v>1</v>
      </c>
    </row>
    <row r="542" spans="1:15" x14ac:dyDescent="0.3">
      <c r="A542">
        <v>541</v>
      </c>
      <c r="B542" t="s">
        <v>746</v>
      </c>
      <c r="C542" t="s">
        <v>287</v>
      </c>
      <c r="D542" t="s">
        <v>31</v>
      </c>
      <c r="E542" s="1">
        <v>43851</v>
      </c>
      <c r="F542" s="2">
        <f ca="1">DATEDIF(EmpTable[[#This Row],[Start Date]],TODAY(),"Y")</f>
        <v>6</v>
      </c>
      <c r="G542" t="s">
        <v>16</v>
      </c>
      <c r="H542" t="s">
        <v>17</v>
      </c>
      <c r="I542" t="s">
        <v>35</v>
      </c>
      <c r="J542">
        <v>2123</v>
      </c>
      <c r="K542">
        <v>25476</v>
      </c>
      <c r="L542">
        <v>5</v>
      </c>
      <c r="M542">
        <v>0</v>
      </c>
      <c r="N542">
        <v>0</v>
      </c>
      <c r="O542">
        <v>15</v>
      </c>
    </row>
    <row r="543" spans="1:15" x14ac:dyDescent="0.3">
      <c r="A543">
        <v>542</v>
      </c>
      <c r="B543" t="s">
        <v>329</v>
      </c>
      <c r="C543" t="s">
        <v>575</v>
      </c>
      <c r="D543" t="s">
        <v>306</v>
      </c>
      <c r="E543" s="1">
        <v>43728</v>
      </c>
      <c r="F543" s="2">
        <f ca="1">DATEDIF(EmpTable[[#This Row],[Start Date]],TODAY(),"Y")</f>
        <v>6</v>
      </c>
      <c r="G543" t="s">
        <v>52</v>
      </c>
      <c r="H543" t="s">
        <v>17</v>
      </c>
      <c r="I543" t="s">
        <v>18</v>
      </c>
      <c r="J543">
        <v>897</v>
      </c>
      <c r="K543">
        <v>10764</v>
      </c>
      <c r="L543">
        <v>3</v>
      </c>
      <c r="M543">
        <v>2</v>
      </c>
      <c r="N543">
        <v>0</v>
      </c>
      <c r="O543">
        <v>11</v>
      </c>
    </row>
    <row r="544" spans="1:15" x14ac:dyDescent="0.3">
      <c r="A544">
        <v>543</v>
      </c>
      <c r="B544" t="s">
        <v>32</v>
      </c>
      <c r="C544" t="s">
        <v>301</v>
      </c>
      <c r="D544" t="s">
        <v>31</v>
      </c>
      <c r="E544" s="1">
        <v>43207</v>
      </c>
      <c r="F544" s="2">
        <f ca="1">DATEDIF(EmpTable[[#This Row],[Start Date]],TODAY(),"Y")</f>
        <v>7</v>
      </c>
      <c r="G544" t="s">
        <v>16</v>
      </c>
      <c r="H544" t="s">
        <v>21</v>
      </c>
      <c r="I544" t="s">
        <v>41</v>
      </c>
      <c r="J544">
        <v>2925</v>
      </c>
      <c r="K544">
        <v>35100</v>
      </c>
      <c r="L544">
        <v>3</v>
      </c>
      <c r="M544">
        <v>3</v>
      </c>
      <c r="N544">
        <v>0</v>
      </c>
      <c r="O544">
        <v>14</v>
      </c>
    </row>
    <row r="545" spans="1:15" x14ac:dyDescent="0.3">
      <c r="A545">
        <v>544</v>
      </c>
      <c r="B545" t="s">
        <v>302</v>
      </c>
      <c r="C545" t="s">
        <v>747</v>
      </c>
      <c r="D545" t="s">
        <v>306</v>
      </c>
      <c r="E545" s="1">
        <v>43348</v>
      </c>
      <c r="F545" s="2">
        <f ca="1">DATEDIF(EmpTable[[#This Row],[Start Date]],TODAY(),"Y")</f>
        <v>7</v>
      </c>
      <c r="G545" t="s">
        <v>16</v>
      </c>
      <c r="H545" t="s">
        <v>17</v>
      </c>
      <c r="I545" t="s">
        <v>41</v>
      </c>
      <c r="J545">
        <v>1895</v>
      </c>
      <c r="K545">
        <v>22740</v>
      </c>
      <c r="L545">
        <v>2</v>
      </c>
      <c r="M545">
        <v>0</v>
      </c>
      <c r="N545">
        <v>5</v>
      </c>
      <c r="O545">
        <v>81</v>
      </c>
    </row>
    <row r="546" spans="1:15" x14ac:dyDescent="0.3">
      <c r="A546">
        <v>545</v>
      </c>
      <c r="B546" t="s">
        <v>32</v>
      </c>
      <c r="C546" t="s">
        <v>124</v>
      </c>
      <c r="D546" t="s">
        <v>31</v>
      </c>
      <c r="E546" s="1">
        <v>42409</v>
      </c>
      <c r="F546" s="2">
        <f ca="1">DATEDIF(EmpTable[[#This Row],[Start Date]],TODAY(),"Y")</f>
        <v>10</v>
      </c>
      <c r="G546" t="s">
        <v>162</v>
      </c>
      <c r="H546" t="s">
        <v>17</v>
      </c>
      <c r="I546" t="s">
        <v>18</v>
      </c>
      <c r="J546">
        <v>2191</v>
      </c>
      <c r="K546">
        <v>26292</v>
      </c>
      <c r="L546">
        <v>5</v>
      </c>
      <c r="M546">
        <v>2</v>
      </c>
      <c r="N546">
        <v>0</v>
      </c>
      <c r="O546">
        <v>7</v>
      </c>
    </row>
    <row r="547" spans="1:15" x14ac:dyDescent="0.3">
      <c r="A547">
        <v>546</v>
      </c>
      <c r="B547" t="s">
        <v>748</v>
      </c>
      <c r="C547" t="s">
        <v>371</v>
      </c>
      <c r="D547" t="s">
        <v>306</v>
      </c>
      <c r="E547" s="1">
        <v>43890</v>
      </c>
      <c r="F547" s="2">
        <f ca="1">DATEDIF(EmpTable[[#This Row],[Start Date]],TODAY(),"Y")</f>
        <v>5</v>
      </c>
      <c r="G547" t="s">
        <v>143</v>
      </c>
      <c r="H547" t="s">
        <v>17</v>
      </c>
      <c r="I547" t="s">
        <v>35</v>
      </c>
      <c r="J547">
        <v>3130</v>
      </c>
      <c r="K547">
        <v>37560</v>
      </c>
      <c r="L547">
        <v>3</v>
      </c>
      <c r="M547">
        <v>0</v>
      </c>
      <c r="N547">
        <v>0</v>
      </c>
      <c r="O547">
        <v>5</v>
      </c>
    </row>
    <row r="548" spans="1:15" x14ac:dyDescent="0.3">
      <c r="A548">
        <v>547</v>
      </c>
      <c r="B548" t="s">
        <v>749</v>
      </c>
      <c r="C548" t="s">
        <v>750</v>
      </c>
      <c r="D548" t="s">
        <v>306</v>
      </c>
      <c r="E548" s="1">
        <v>42695</v>
      </c>
      <c r="F548" s="2">
        <f ca="1">DATEDIF(EmpTable[[#This Row],[Start Date]],TODAY(),"Y")</f>
        <v>9</v>
      </c>
      <c r="G548" t="s">
        <v>34</v>
      </c>
      <c r="H548" t="s">
        <v>17</v>
      </c>
      <c r="I548" t="s">
        <v>18</v>
      </c>
      <c r="J548">
        <v>2654</v>
      </c>
      <c r="K548">
        <v>31848</v>
      </c>
      <c r="L548">
        <v>3</v>
      </c>
      <c r="M548">
        <v>0</v>
      </c>
      <c r="N548">
        <v>1</v>
      </c>
      <c r="O548">
        <v>7</v>
      </c>
    </row>
    <row r="549" spans="1:15" x14ac:dyDescent="0.3">
      <c r="A549">
        <v>548</v>
      </c>
      <c r="B549" t="s">
        <v>32</v>
      </c>
      <c r="C549" t="s">
        <v>751</v>
      </c>
      <c r="D549" t="s">
        <v>31</v>
      </c>
      <c r="E549" s="1">
        <v>44192</v>
      </c>
      <c r="F549" s="2">
        <f ca="1">DATEDIF(EmpTable[[#This Row],[Start Date]],TODAY(),"Y")</f>
        <v>5</v>
      </c>
      <c r="G549" t="s">
        <v>16</v>
      </c>
      <c r="H549" t="s">
        <v>21</v>
      </c>
      <c r="I549" t="s">
        <v>41</v>
      </c>
      <c r="J549">
        <v>859</v>
      </c>
      <c r="K549">
        <v>10308</v>
      </c>
      <c r="L549">
        <v>5</v>
      </c>
      <c r="M549">
        <v>0</v>
      </c>
      <c r="N549">
        <v>1</v>
      </c>
      <c r="O549">
        <v>5</v>
      </c>
    </row>
    <row r="550" spans="1:15" x14ac:dyDescent="0.3">
      <c r="A550">
        <v>549</v>
      </c>
      <c r="B550" t="s">
        <v>752</v>
      </c>
      <c r="C550" t="s">
        <v>753</v>
      </c>
      <c r="D550" t="s">
        <v>31</v>
      </c>
      <c r="E550" s="1">
        <v>42537</v>
      </c>
      <c r="F550" s="2">
        <f ca="1">DATEDIF(EmpTable[[#This Row],[Start Date]],TODAY(),"Y")</f>
        <v>9</v>
      </c>
      <c r="G550" t="s">
        <v>76</v>
      </c>
      <c r="H550" t="s">
        <v>17</v>
      </c>
      <c r="I550" t="s">
        <v>35</v>
      </c>
      <c r="J550">
        <v>1113</v>
      </c>
      <c r="K550">
        <v>13356</v>
      </c>
      <c r="L550">
        <v>3</v>
      </c>
      <c r="M550">
        <v>4</v>
      </c>
      <c r="N550">
        <v>0</v>
      </c>
      <c r="O550">
        <v>11</v>
      </c>
    </row>
    <row r="551" spans="1:15" x14ac:dyDescent="0.3">
      <c r="A551">
        <v>550</v>
      </c>
      <c r="B551" t="s">
        <v>164</v>
      </c>
      <c r="C551" t="s">
        <v>706</v>
      </c>
      <c r="D551" t="s">
        <v>31</v>
      </c>
      <c r="E551" s="1">
        <v>43725</v>
      </c>
      <c r="F551" s="2">
        <f ca="1">DATEDIF(EmpTable[[#This Row],[Start Date]],TODAY(),"Y")</f>
        <v>6</v>
      </c>
      <c r="G551" t="s">
        <v>40</v>
      </c>
      <c r="H551" t="s">
        <v>17</v>
      </c>
      <c r="I551" t="s">
        <v>59</v>
      </c>
      <c r="J551">
        <v>1234</v>
      </c>
      <c r="K551">
        <v>14808</v>
      </c>
      <c r="L551">
        <v>5</v>
      </c>
      <c r="M551">
        <v>1</v>
      </c>
      <c r="N551">
        <v>5</v>
      </c>
      <c r="O551">
        <v>10</v>
      </c>
    </row>
    <row r="552" spans="1:15" x14ac:dyDescent="0.3">
      <c r="A552">
        <v>551</v>
      </c>
      <c r="B552" t="s">
        <v>621</v>
      </c>
      <c r="C552" t="s">
        <v>395</v>
      </c>
      <c r="D552" t="s">
        <v>31</v>
      </c>
      <c r="E552" s="1">
        <v>43815</v>
      </c>
      <c r="F552" s="2">
        <f ca="1">DATEDIF(EmpTable[[#This Row],[Start Date]],TODAY(),"Y")</f>
        <v>6</v>
      </c>
      <c r="G552" t="s">
        <v>57</v>
      </c>
      <c r="H552" t="s">
        <v>17</v>
      </c>
      <c r="I552" t="s">
        <v>35</v>
      </c>
      <c r="J552">
        <v>2647</v>
      </c>
      <c r="K552">
        <v>31764</v>
      </c>
      <c r="L552">
        <v>3</v>
      </c>
      <c r="M552">
        <v>4</v>
      </c>
      <c r="N552">
        <v>0</v>
      </c>
      <c r="O552">
        <v>1</v>
      </c>
    </row>
    <row r="553" spans="1:15" x14ac:dyDescent="0.3">
      <c r="A553">
        <v>552</v>
      </c>
      <c r="B553" t="s">
        <v>302</v>
      </c>
      <c r="C553" t="s">
        <v>754</v>
      </c>
      <c r="D553" t="s">
        <v>306</v>
      </c>
      <c r="E553" s="1">
        <v>42583</v>
      </c>
      <c r="F553" s="2">
        <f ca="1">DATEDIF(EmpTable[[#This Row],[Start Date]],TODAY(),"Y")</f>
        <v>9</v>
      </c>
      <c r="G553" t="s">
        <v>44</v>
      </c>
      <c r="H553" t="s">
        <v>21</v>
      </c>
      <c r="I553" t="s">
        <v>35</v>
      </c>
      <c r="J553">
        <v>2200</v>
      </c>
      <c r="K553">
        <v>26400</v>
      </c>
      <c r="L553">
        <v>1</v>
      </c>
      <c r="M553">
        <v>1</v>
      </c>
      <c r="N553">
        <v>0</v>
      </c>
      <c r="O553">
        <v>6</v>
      </c>
    </row>
    <row r="554" spans="1:15" x14ac:dyDescent="0.3">
      <c r="A554">
        <v>553</v>
      </c>
      <c r="B554" t="s">
        <v>228</v>
      </c>
      <c r="C554" t="s">
        <v>368</v>
      </c>
      <c r="D554" t="s">
        <v>306</v>
      </c>
      <c r="E554" s="1">
        <v>43183</v>
      </c>
      <c r="F554" s="2">
        <f ca="1">DATEDIF(EmpTable[[#This Row],[Start Date]],TODAY(),"Y")</f>
        <v>7</v>
      </c>
      <c r="G554" t="s">
        <v>24</v>
      </c>
      <c r="H554" t="s">
        <v>17</v>
      </c>
      <c r="I554" t="s">
        <v>35</v>
      </c>
      <c r="J554">
        <v>2381</v>
      </c>
      <c r="K554">
        <v>28572</v>
      </c>
      <c r="L554">
        <v>4.5</v>
      </c>
      <c r="M554">
        <v>2</v>
      </c>
      <c r="N554">
        <v>0</v>
      </c>
      <c r="O554">
        <v>10</v>
      </c>
    </row>
    <row r="555" spans="1:15" x14ac:dyDescent="0.3">
      <c r="A555">
        <v>554</v>
      </c>
      <c r="B555" t="s">
        <v>326</v>
      </c>
      <c r="C555" t="s">
        <v>755</v>
      </c>
      <c r="D555" t="s">
        <v>31</v>
      </c>
      <c r="E555" s="1">
        <v>43817</v>
      </c>
      <c r="F555" s="2">
        <f ca="1">DATEDIF(EmpTable[[#This Row],[Start Date]],TODAY(),"Y")</f>
        <v>6</v>
      </c>
      <c r="G555" t="s">
        <v>40</v>
      </c>
      <c r="H555" t="s">
        <v>28</v>
      </c>
      <c r="I555" t="s">
        <v>41</v>
      </c>
      <c r="J555">
        <v>2329</v>
      </c>
      <c r="K555">
        <v>27948</v>
      </c>
      <c r="L555">
        <v>2</v>
      </c>
      <c r="M555">
        <v>0</v>
      </c>
      <c r="N555">
        <v>0</v>
      </c>
      <c r="O555">
        <v>5</v>
      </c>
    </row>
    <row r="556" spans="1:15" x14ac:dyDescent="0.3">
      <c r="A556">
        <v>555</v>
      </c>
      <c r="B556" t="s">
        <v>301</v>
      </c>
      <c r="C556" t="s">
        <v>756</v>
      </c>
      <c r="D556" t="s">
        <v>31</v>
      </c>
      <c r="E556" s="1">
        <v>43676</v>
      </c>
      <c r="F556" s="2">
        <f ca="1">DATEDIF(EmpTable[[#This Row],[Start Date]],TODAY(),"Y")</f>
        <v>6</v>
      </c>
      <c r="G556" t="s">
        <v>27</v>
      </c>
      <c r="H556" t="s">
        <v>17</v>
      </c>
      <c r="I556" t="s">
        <v>41</v>
      </c>
      <c r="J556">
        <v>1075</v>
      </c>
      <c r="K556">
        <v>12900</v>
      </c>
      <c r="L556">
        <v>3</v>
      </c>
      <c r="M556">
        <v>0</v>
      </c>
      <c r="N556">
        <v>4</v>
      </c>
      <c r="O556">
        <v>61</v>
      </c>
    </row>
    <row r="557" spans="1:15" x14ac:dyDescent="0.3">
      <c r="A557">
        <v>556</v>
      </c>
      <c r="B557" t="s">
        <v>333</v>
      </c>
      <c r="C557" t="s">
        <v>757</v>
      </c>
      <c r="D557" t="s">
        <v>306</v>
      </c>
      <c r="E557" s="1">
        <v>43013</v>
      </c>
      <c r="F557" s="2">
        <f ca="1">DATEDIF(EmpTable[[#This Row],[Start Date]],TODAY(),"Y")</f>
        <v>8</v>
      </c>
      <c r="G557" t="s">
        <v>57</v>
      </c>
      <c r="H557" t="s">
        <v>17</v>
      </c>
      <c r="I557" t="s">
        <v>41</v>
      </c>
      <c r="J557">
        <v>3110</v>
      </c>
      <c r="K557">
        <v>37320</v>
      </c>
      <c r="L557">
        <v>1</v>
      </c>
      <c r="M557">
        <v>1</v>
      </c>
      <c r="N557">
        <v>4</v>
      </c>
      <c r="O557">
        <v>1</v>
      </c>
    </row>
    <row r="558" spans="1:15" x14ac:dyDescent="0.3">
      <c r="A558">
        <v>557</v>
      </c>
      <c r="B558" t="s">
        <v>459</v>
      </c>
      <c r="C558" t="s">
        <v>758</v>
      </c>
      <c r="D558" t="s">
        <v>31</v>
      </c>
      <c r="E558" s="1">
        <v>42878</v>
      </c>
      <c r="F558" s="2">
        <f ca="1">DATEDIF(EmpTable[[#This Row],[Start Date]],TODAY(),"Y")</f>
        <v>8</v>
      </c>
      <c r="G558" t="s">
        <v>27</v>
      </c>
      <c r="H558" t="s">
        <v>17</v>
      </c>
      <c r="I558" t="s">
        <v>35</v>
      </c>
      <c r="J558">
        <v>2777</v>
      </c>
      <c r="K558">
        <v>33324</v>
      </c>
      <c r="L558">
        <v>5</v>
      </c>
      <c r="M558">
        <v>0</v>
      </c>
      <c r="N558">
        <v>0</v>
      </c>
      <c r="O558">
        <v>10</v>
      </c>
    </row>
    <row r="559" spans="1:15" x14ac:dyDescent="0.3">
      <c r="A559">
        <v>558</v>
      </c>
      <c r="B559" t="s">
        <v>32</v>
      </c>
      <c r="C559" t="s">
        <v>759</v>
      </c>
      <c r="D559" t="s">
        <v>31</v>
      </c>
      <c r="E559" s="1">
        <v>43525</v>
      </c>
      <c r="F559" s="2">
        <f ca="1">DATEDIF(EmpTable[[#This Row],[Start Date]],TODAY(),"Y")</f>
        <v>6</v>
      </c>
      <c r="G559" t="s">
        <v>75</v>
      </c>
      <c r="H559" t="s">
        <v>17</v>
      </c>
      <c r="I559" t="s">
        <v>18</v>
      </c>
      <c r="J559">
        <v>2306</v>
      </c>
      <c r="K559">
        <v>27672</v>
      </c>
      <c r="L559">
        <v>2</v>
      </c>
      <c r="M559">
        <v>5</v>
      </c>
      <c r="N559">
        <v>5</v>
      </c>
      <c r="O559">
        <v>11</v>
      </c>
    </row>
    <row r="560" spans="1:15" x14ac:dyDescent="0.3">
      <c r="A560">
        <v>559</v>
      </c>
      <c r="B560" t="s">
        <v>205</v>
      </c>
      <c r="C560" t="s">
        <v>760</v>
      </c>
      <c r="D560" t="s">
        <v>306</v>
      </c>
      <c r="E560" s="1">
        <v>42722</v>
      </c>
      <c r="F560" s="2">
        <f ca="1">DATEDIF(EmpTable[[#This Row],[Start Date]],TODAY(),"Y")</f>
        <v>9</v>
      </c>
      <c r="G560" t="s">
        <v>76</v>
      </c>
      <c r="H560" t="s">
        <v>17</v>
      </c>
      <c r="I560" t="s">
        <v>41</v>
      </c>
      <c r="J560">
        <v>1213</v>
      </c>
      <c r="K560">
        <v>14556</v>
      </c>
      <c r="L560">
        <v>3</v>
      </c>
      <c r="M560">
        <v>0</v>
      </c>
      <c r="N560">
        <v>0</v>
      </c>
      <c r="O560">
        <v>10</v>
      </c>
    </row>
    <row r="561" spans="1:15" x14ac:dyDescent="0.3">
      <c r="A561">
        <v>560</v>
      </c>
      <c r="B561" t="s">
        <v>761</v>
      </c>
      <c r="C561" t="s">
        <v>762</v>
      </c>
      <c r="D561" t="s">
        <v>306</v>
      </c>
      <c r="E561" s="1">
        <v>43940</v>
      </c>
      <c r="F561" s="2">
        <f ca="1">DATEDIF(EmpTable[[#This Row],[Start Date]],TODAY(),"Y")</f>
        <v>5</v>
      </c>
      <c r="G561" t="s">
        <v>76</v>
      </c>
      <c r="H561" t="s">
        <v>17</v>
      </c>
      <c r="I561" t="s">
        <v>59</v>
      </c>
      <c r="J561">
        <v>2680</v>
      </c>
      <c r="K561">
        <v>32160</v>
      </c>
      <c r="L561">
        <v>4.5</v>
      </c>
      <c r="M561">
        <v>0</v>
      </c>
      <c r="N561">
        <v>0</v>
      </c>
      <c r="O561">
        <v>1</v>
      </c>
    </row>
    <row r="562" spans="1:15" x14ac:dyDescent="0.3">
      <c r="A562">
        <v>561</v>
      </c>
      <c r="B562" t="s">
        <v>763</v>
      </c>
      <c r="C562" t="s">
        <v>764</v>
      </c>
      <c r="D562" t="s">
        <v>306</v>
      </c>
      <c r="E562" s="1">
        <v>44152</v>
      </c>
      <c r="F562" s="2">
        <f ca="1">DATEDIF(EmpTable[[#This Row],[Start Date]],TODAY(),"Y")</f>
        <v>5</v>
      </c>
      <c r="G562" t="s">
        <v>76</v>
      </c>
      <c r="H562" t="s">
        <v>17</v>
      </c>
      <c r="I562" t="s">
        <v>897</v>
      </c>
      <c r="J562">
        <v>2204</v>
      </c>
      <c r="K562">
        <v>26448</v>
      </c>
      <c r="L562">
        <v>4.5</v>
      </c>
      <c r="M562">
        <v>1</v>
      </c>
      <c r="N562">
        <v>0</v>
      </c>
      <c r="O562">
        <v>4</v>
      </c>
    </row>
    <row r="563" spans="1:15" x14ac:dyDescent="0.3">
      <c r="A563">
        <v>562</v>
      </c>
      <c r="B563" t="s">
        <v>765</v>
      </c>
      <c r="C563" t="s">
        <v>766</v>
      </c>
      <c r="D563" t="s">
        <v>306</v>
      </c>
      <c r="E563" s="1">
        <v>43113</v>
      </c>
      <c r="F563" s="2">
        <f ca="1">DATEDIF(EmpTable[[#This Row],[Start Date]],TODAY(),"Y")</f>
        <v>8</v>
      </c>
      <c r="G563" t="s">
        <v>27</v>
      </c>
      <c r="H563" t="s">
        <v>17</v>
      </c>
      <c r="I563" t="s">
        <v>41</v>
      </c>
      <c r="J563">
        <v>1297</v>
      </c>
      <c r="K563">
        <v>15564</v>
      </c>
      <c r="L563">
        <v>2</v>
      </c>
      <c r="M563">
        <v>2</v>
      </c>
      <c r="N563">
        <v>0</v>
      </c>
      <c r="O563">
        <v>8</v>
      </c>
    </row>
    <row r="564" spans="1:15" x14ac:dyDescent="0.3">
      <c r="A564">
        <v>563</v>
      </c>
      <c r="B564" t="s">
        <v>505</v>
      </c>
      <c r="C564" t="s">
        <v>767</v>
      </c>
      <c r="D564" t="s">
        <v>31</v>
      </c>
      <c r="E564" s="1">
        <v>44179</v>
      </c>
      <c r="F564" s="2">
        <f ca="1">DATEDIF(EmpTable[[#This Row],[Start Date]],TODAY(),"Y")</f>
        <v>5</v>
      </c>
      <c r="G564" t="s">
        <v>16</v>
      </c>
      <c r="H564" t="s">
        <v>17</v>
      </c>
      <c r="I564" t="s">
        <v>35</v>
      </c>
      <c r="J564">
        <v>3024</v>
      </c>
      <c r="K564">
        <v>36288</v>
      </c>
      <c r="L564">
        <v>4.5</v>
      </c>
      <c r="M564">
        <v>6</v>
      </c>
      <c r="N564">
        <v>1</v>
      </c>
      <c r="O564">
        <v>48</v>
      </c>
    </row>
    <row r="565" spans="1:15" x14ac:dyDescent="0.3">
      <c r="A565">
        <v>564</v>
      </c>
      <c r="B565" t="s">
        <v>32</v>
      </c>
      <c r="C565" t="s">
        <v>768</v>
      </c>
      <c r="D565" t="s">
        <v>31</v>
      </c>
      <c r="E565" s="1">
        <v>43142</v>
      </c>
      <c r="F565" s="2">
        <f ca="1">DATEDIF(EmpTable[[#This Row],[Start Date]],TODAY(),"Y")</f>
        <v>8</v>
      </c>
      <c r="G565" t="s">
        <v>117</v>
      </c>
      <c r="H565" t="s">
        <v>17</v>
      </c>
      <c r="I565" t="s">
        <v>41</v>
      </c>
      <c r="J565">
        <v>2228</v>
      </c>
      <c r="K565">
        <v>26736</v>
      </c>
      <c r="L565">
        <v>5</v>
      </c>
      <c r="M565">
        <v>1</v>
      </c>
      <c r="N565">
        <v>0</v>
      </c>
      <c r="O565">
        <v>78</v>
      </c>
    </row>
    <row r="566" spans="1:15" x14ac:dyDescent="0.3">
      <c r="A566">
        <v>565</v>
      </c>
      <c r="B566" t="s">
        <v>769</v>
      </c>
      <c r="C566" t="s">
        <v>770</v>
      </c>
      <c r="D566" t="s">
        <v>31</v>
      </c>
      <c r="E566" s="1">
        <v>42377</v>
      </c>
      <c r="F566" s="2">
        <f ca="1">DATEDIF(EmpTable[[#This Row],[Start Date]],TODAY(),"Y")</f>
        <v>10</v>
      </c>
      <c r="G566" t="s">
        <v>76</v>
      </c>
      <c r="H566" t="s">
        <v>17</v>
      </c>
      <c r="I566" t="s">
        <v>18</v>
      </c>
      <c r="J566">
        <v>2009</v>
      </c>
      <c r="K566">
        <v>24108</v>
      </c>
      <c r="L566">
        <v>4.5</v>
      </c>
      <c r="M566">
        <v>6</v>
      </c>
      <c r="N566">
        <v>0</v>
      </c>
      <c r="O566">
        <v>0</v>
      </c>
    </row>
    <row r="567" spans="1:15" x14ac:dyDescent="0.3">
      <c r="A567">
        <v>566</v>
      </c>
      <c r="B567" t="s">
        <v>771</v>
      </c>
      <c r="C567" t="s">
        <v>772</v>
      </c>
      <c r="D567" t="s">
        <v>31</v>
      </c>
      <c r="E567" s="1">
        <v>44087</v>
      </c>
      <c r="F567" s="2">
        <f ca="1">DATEDIF(EmpTable[[#This Row],[Start Date]],TODAY(),"Y")</f>
        <v>5</v>
      </c>
      <c r="G567" t="s">
        <v>40</v>
      </c>
      <c r="H567" t="s">
        <v>17</v>
      </c>
      <c r="I567" t="s">
        <v>35</v>
      </c>
      <c r="J567">
        <v>2573</v>
      </c>
      <c r="K567">
        <v>30876</v>
      </c>
      <c r="L567">
        <v>5</v>
      </c>
      <c r="M567">
        <v>0</v>
      </c>
      <c r="N567">
        <v>0</v>
      </c>
      <c r="O567">
        <v>28</v>
      </c>
    </row>
    <row r="568" spans="1:15" x14ac:dyDescent="0.3">
      <c r="A568">
        <v>567</v>
      </c>
      <c r="B568" t="s">
        <v>773</v>
      </c>
      <c r="C568" t="s">
        <v>411</v>
      </c>
      <c r="D568" t="s">
        <v>31</v>
      </c>
      <c r="E568" s="1">
        <v>43194</v>
      </c>
      <c r="F568" s="2">
        <f ca="1">DATEDIF(EmpTable[[#This Row],[Start Date]],TODAY(),"Y")</f>
        <v>7</v>
      </c>
      <c r="G568" t="s">
        <v>27</v>
      </c>
      <c r="H568" t="s">
        <v>17</v>
      </c>
      <c r="I568" t="s">
        <v>35</v>
      </c>
      <c r="J568">
        <v>1938</v>
      </c>
      <c r="K568">
        <v>23256</v>
      </c>
      <c r="L568">
        <v>3</v>
      </c>
      <c r="M568">
        <v>0</v>
      </c>
      <c r="N568">
        <v>0</v>
      </c>
      <c r="O568">
        <v>7</v>
      </c>
    </row>
    <row r="569" spans="1:15" x14ac:dyDescent="0.3">
      <c r="A569">
        <v>568</v>
      </c>
      <c r="B569" t="s">
        <v>577</v>
      </c>
      <c r="C569" t="s">
        <v>774</v>
      </c>
      <c r="D569" t="s">
        <v>306</v>
      </c>
      <c r="E569" s="1">
        <v>43663</v>
      </c>
      <c r="F569" s="2">
        <f ca="1">DATEDIF(EmpTable[[#This Row],[Start Date]],TODAY(),"Y")</f>
        <v>6</v>
      </c>
      <c r="G569" t="s">
        <v>40</v>
      </c>
      <c r="H569" t="s">
        <v>17</v>
      </c>
      <c r="I569" t="s">
        <v>41</v>
      </c>
      <c r="J569">
        <v>1208</v>
      </c>
      <c r="K569">
        <v>14496</v>
      </c>
      <c r="L569">
        <v>5</v>
      </c>
      <c r="M569">
        <v>3</v>
      </c>
      <c r="N569">
        <v>0</v>
      </c>
      <c r="O569">
        <v>10</v>
      </c>
    </row>
    <row r="570" spans="1:15" x14ac:dyDescent="0.3">
      <c r="A570">
        <v>569</v>
      </c>
      <c r="B570" t="s">
        <v>775</v>
      </c>
      <c r="C570" t="s">
        <v>776</v>
      </c>
      <c r="D570" t="s">
        <v>31</v>
      </c>
      <c r="E570" s="1">
        <v>43663</v>
      </c>
      <c r="F570" s="2">
        <f ca="1">DATEDIF(EmpTable[[#This Row],[Start Date]],TODAY(),"Y")</f>
        <v>6</v>
      </c>
      <c r="G570" t="s">
        <v>72</v>
      </c>
      <c r="H570" t="s">
        <v>47</v>
      </c>
      <c r="I570" t="s">
        <v>18</v>
      </c>
      <c r="J570">
        <v>2342</v>
      </c>
      <c r="K570">
        <v>28104</v>
      </c>
      <c r="L570">
        <v>4.5</v>
      </c>
      <c r="M570">
        <v>5</v>
      </c>
      <c r="N570">
        <v>0</v>
      </c>
      <c r="O570">
        <v>10</v>
      </c>
    </row>
    <row r="571" spans="1:15" x14ac:dyDescent="0.3">
      <c r="A571">
        <v>570</v>
      </c>
      <c r="B571" t="s">
        <v>32</v>
      </c>
      <c r="C571" t="s">
        <v>178</v>
      </c>
      <c r="D571" t="s">
        <v>31</v>
      </c>
      <c r="E571" s="1">
        <v>43950</v>
      </c>
      <c r="F571" s="2">
        <f ca="1">DATEDIF(EmpTable[[#This Row],[Start Date]],TODAY(),"Y")</f>
        <v>5</v>
      </c>
      <c r="G571" t="s">
        <v>49</v>
      </c>
      <c r="H571" t="s">
        <v>17</v>
      </c>
      <c r="I571" t="s">
        <v>41</v>
      </c>
      <c r="J571">
        <v>3244</v>
      </c>
      <c r="K571">
        <v>38928</v>
      </c>
      <c r="L571">
        <v>4.5</v>
      </c>
      <c r="M571">
        <v>0</v>
      </c>
      <c r="N571">
        <v>0</v>
      </c>
      <c r="O571">
        <v>78</v>
      </c>
    </row>
    <row r="572" spans="1:15" x14ac:dyDescent="0.3">
      <c r="A572">
        <v>571</v>
      </c>
      <c r="B572" t="s">
        <v>128</v>
      </c>
      <c r="C572" t="s">
        <v>777</v>
      </c>
      <c r="D572" t="s">
        <v>31</v>
      </c>
      <c r="E572" s="1">
        <v>42829</v>
      </c>
      <c r="F572" s="2">
        <f ca="1">DATEDIF(EmpTable[[#This Row],[Start Date]],TODAY(),"Y")</f>
        <v>8</v>
      </c>
      <c r="G572" t="s">
        <v>40</v>
      </c>
      <c r="H572" t="s">
        <v>17</v>
      </c>
      <c r="I572" t="s">
        <v>35</v>
      </c>
      <c r="J572">
        <v>2613</v>
      </c>
      <c r="K572">
        <v>31356</v>
      </c>
      <c r="L572">
        <v>4.5</v>
      </c>
      <c r="M572">
        <v>0</v>
      </c>
      <c r="N572">
        <v>1</v>
      </c>
      <c r="O572">
        <v>5</v>
      </c>
    </row>
    <row r="573" spans="1:15" x14ac:dyDescent="0.3">
      <c r="A573">
        <v>572</v>
      </c>
      <c r="B573" t="s">
        <v>32</v>
      </c>
      <c r="C573" t="s">
        <v>778</v>
      </c>
      <c r="D573" t="s">
        <v>31</v>
      </c>
      <c r="E573" s="1">
        <v>44184</v>
      </c>
      <c r="F573" s="2">
        <f ca="1">DATEDIF(EmpTable[[#This Row],[Start Date]],TODAY(),"Y")</f>
        <v>5</v>
      </c>
      <c r="G573" t="s">
        <v>27</v>
      </c>
      <c r="H573" t="s">
        <v>21</v>
      </c>
      <c r="I573" t="s">
        <v>41</v>
      </c>
      <c r="J573">
        <v>2263</v>
      </c>
      <c r="K573">
        <v>27156</v>
      </c>
      <c r="L573">
        <v>5</v>
      </c>
      <c r="M573">
        <v>0</v>
      </c>
      <c r="N573">
        <v>0</v>
      </c>
      <c r="O573">
        <v>9</v>
      </c>
    </row>
    <row r="574" spans="1:15" x14ac:dyDescent="0.3">
      <c r="A574">
        <v>573</v>
      </c>
      <c r="B574" t="s">
        <v>164</v>
      </c>
      <c r="C574" t="s">
        <v>697</v>
      </c>
      <c r="D574" t="s">
        <v>31</v>
      </c>
      <c r="E574" s="1">
        <v>42557</v>
      </c>
      <c r="F574" s="2">
        <f ca="1">DATEDIF(EmpTable[[#This Row],[Start Date]],TODAY(),"Y")</f>
        <v>9</v>
      </c>
      <c r="G574" t="s">
        <v>40</v>
      </c>
      <c r="H574" t="s">
        <v>17</v>
      </c>
      <c r="I574" t="s">
        <v>897</v>
      </c>
      <c r="J574">
        <v>3157</v>
      </c>
      <c r="K574">
        <v>37884</v>
      </c>
      <c r="L574">
        <v>5</v>
      </c>
      <c r="M574">
        <v>0</v>
      </c>
      <c r="N574">
        <v>0</v>
      </c>
      <c r="O574">
        <v>1</v>
      </c>
    </row>
    <row r="575" spans="1:15" x14ac:dyDescent="0.3">
      <c r="A575">
        <v>574</v>
      </c>
      <c r="B575" t="s">
        <v>32</v>
      </c>
      <c r="C575" t="s">
        <v>779</v>
      </c>
      <c r="D575" t="s">
        <v>31</v>
      </c>
      <c r="E575" s="1">
        <v>43166</v>
      </c>
      <c r="F575" s="2">
        <f ca="1">DATEDIF(EmpTable[[#This Row],[Start Date]],TODAY(),"Y")</f>
        <v>7</v>
      </c>
      <c r="G575" t="s">
        <v>40</v>
      </c>
      <c r="H575" t="s">
        <v>47</v>
      </c>
      <c r="I575" t="s">
        <v>59</v>
      </c>
      <c r="J575">
        <v>2519</v>
      </c>
      <c r="K575">
        <v>30228</v>
      </c>
      <c r="L575">
        <v>5</v>
      </c>
      <c r="M575">
        <v>2</v>
      </c>
      <c r="N575">
        <v>2</v>
      </c>
      <c r="O575">
        <v>10</v>
      </c>
    </row>
    <row r="576" spans="1:15" x14ac:dyDescent="0.3">
      <c r="A576">
        <v>575</v>
      </c>
      <c r="B576" t="s">
        <v>58</v>
      </c>
      <c r="C576" t="s">
        <v>780</v>
      </c>
      <c r="D576" t="s">
        <v>306</v>
      </c>
      <c r="E576" s="1">
        <v>43894</v>
      </c>
      <c r="F576" s="2">
        <f ca="1">DATEDIF(EmpTable[[#This Row],[Start Date]],TODAY(),"Y")</f>
        <v>5</v>
      </c>
      <c r="G576" t="s">
        <v>49</v>
      </c>
      <c r="H576" t="s">
        <v>28</v>
      </c>
      <c r="I576" t="s">
        <v>18</v>
      </c>
      <c r="J576">
        <v>3019</v>
      </c>
      <c r="K576">
        <v>36228</v>
      </c>
      <c r="L576">
        <v>4.5</v>
      </c>
      <c r="M576">
        <v>2</v>
      </c>
      <c r="N576">
        <v>0</v>
      </c>
      <c r="O576">
        <v>15</v>
      </c>
    </row>
    <row r="577" spans="1:15" x14ac:dyDescent="0.3">
      <c r="A577">
        <v>576</v>
      </c>
      <c r="B577" t="s">
        <v>781</v>
      </c>
      <c r="C577" t="s">
        <v>782</v>
      </c>
      <c r="D577" t="s">
        <v>306</v>
      </c>
      <c r="E577" s="1">
        <v>43577</v>
      </c>
      <c r="F577" s="2">
        <f ca="1">DATEDIF(EmpTable[[#This Row],[Start Date]],TODAY(),"Y")</f>
        <v>6</v>
      </c>
      <c r="G577" t="s">
        <v>27</v>
      </c>
      <c r="H577" t="s">
        <v>28</v>
      </c>
      <c r="I577" t="s">
        <v>897</v>
      </c>
      <c r="J577">
        <v>3048</v>
      </c>
      <c r="K577">
        <v>36576</v>
      </c>
      <c r="L577">
        <v>2</v>
      </c>
      <c r="M577">
        <v>3</v>
      </c>
      <c r="N577">
        <v>6</v>
      </c>
      <c r="O577">
        <v>6</v>
      </c>
    </row>
    <row r="578" spans="1:15" x14ac:dyDescent="0.3">
      <c r="A578">
        <v>577</v>
      </c>
      <c r="B578" t="s">
        <v>29</v>
      </c>
      <c r="C578" t="s">
        <v>783</v>
      </c>
      <c r="D578" t="s">
        <v>31</v>
      </c>
      <c r="E578" s="1">
        <v>43811</v>
      </c>
      <c r="F578" s="2">
        <f ca="1">DATEDIF(EmpTable[[#This Row],[Start Date]],TODAY(),"Y")</f>
        <v>6</v>
      </c>
      <c r="G578" t="s">
        <v>27</v>
      </c>
      <c r="H578" t="s">
        <v>17</v>
      </c>
      <c r="I578" t="s">
        <v>18</v>
      </c>
      <c r="J578">
        <v>1523</v>
      </c>
      <c r="K578">
        <v>18276</v>
      </c>
      <c r="L578">
        <v>4.5</v>
      </c>
      <c r="M578">
        <v>0</v>
      </c>
      <c r="N578">
        <v>4</v>
      </c>
      <c r="O578">
        <v>2</v>
      </c>
    </row>
    <row r="579" spans="1:15" x14ac:dyDescent="0.3">
      <c r="A579">
        <v>578</v>
      </c>
      <c r="B579" t="s">
        <v>784</v>
      </c>
      <c r="C579" t="s">
        <v>785</v>
      </c>
      <c r="D579" t="s">
        <v>31</v>
      </c>
      <c r="E579" s="1">
        <v>43505</v>
      </c>
      <c r="F579" s="2">
        <f ca="1">DATEDIF(EmpTable[[#This Row],[Start Date]],TODAY(),"Y")</f>
        <v>7</v>
      </c>
      <c r="G579" t="s">
        <v>57</v>
      </c>
      <c r="H579" t="s">
        <v>17</v>
      </c>
      <c r="I579" t="s">
        <v>897</v>
      </c>
      <c r="J579">
        <v>2197</v>
      </c>
      <c r="K579">
        <v>26364</v>
      </c>
      <c r="L579">
        <v>1</v>
      </c>
      <c r="M579">
        <v>1</v>
      </c>
      <c r="N579">
        <v>0</v>
      </c>
      <c r="O579">
        <v>8</v>
      </c>
    </row>
    <row r="580" spans="1:15" x14ac:dyDescent="0.3">
      <c r="A580">
        <v>579</v>
      </c>
      <c r="B580" t="s">
        <v>309</v>
      </c>
      <c r="C580" t="s">
        <v>786</v>
      </c>
      <c r="D580" t="s">
        <v>306</v>
      </c>
      <c r="E580" s="1">
        <v>43556</v>
      </c>
      <c r="F580" s="2">
        <f ca="1">DATEDIF(EmpTable[[#This Row],[Start Date]],TODAY(),"Y")</f>
        <v>6</v>
      </c>
      <c r="G580" t="s">
        <v>34</v>
      </c>
      <c r="H580" t="s">
        <v>17</v>
      </c>
      <c r="I580" t="s">
        <v>41</v>
      </c>
      <c r="J580">
        <v>1870</v>
      </c>
      <c r="K580">
        <v>22440</v>
      </c>
      <c r="L580">
        <v>4.5</v>
      </c>
      <c r="M580">
        <v>0</v>
      </c>
      <c r="N580">
        <v>3</v>
      </c>
      <c r="O580">
        <v>15</v>
      </c>
    </row>
    <row r="581" spans="1:15" x14ac:dyDescent="0.3">
      <c r="A581">
        <v>580</v>
      </c>
      <c r="B581" t="s">
        <v>32</v>
      </c>
      <c r="C581" t="s">
        <v>778</v>
      </c>
      <c r="D581" t="s">
        <v>31</v>
      </c>
      <c r="E581" s="1">
        <v>43176</v>
      </c>
      <c r="F581" s="2">
        <f ca="1">DATEDIF(EmpTable[[#This Row],[Start Date]],TODAY(),"Y")</f>
        <v>7</v>
      </c>
      <c r="G581" t="s">
        <v>27</v>
      </c>
      <c r="H581" t="s">
        <v>28</v>
      </c>
      <c r="I581" t="s">
        <v>41</v>
      </c>
      <c r="J581">
        <v>1058</v>
      </c>
      <c r="K581">
        <v>12696</v>
      </c>
      <c r="L581">
        <v>5</v>
      </c>
      <c r="M581">
        <v>0</v>
      </c>
      <c r="N581">
        <v>0</v>
      </c>
      <c r="O581">
        <v>10</v>
      </c>
    </row>
    <row r="582" spans="1:15" x14ac:dyDescent="0.3">
      <c r="A582">
        <v>581</v>
      </c>
      <c r="B582" t="s">
        <v>161</v>
      </c>
      <c r="C582" t="s">
        <v>787</v>
      </c>
      <c r="D582" t="s">
        <v>31</v>
      </c>
      <c r="E582" s="1">
        <v>43741</v>
      </c>
      <c r="F582" s="2">
        <f ca="1">DATEDIF(EmpTable[[#This Row],[Start Date]],TODAY(),"Y")</f>
        <v>6</v>
      </c>
      <c r="G582" t="s">
        <v>38</v>
      </c>
      <c r="H582" t="s">
        <v>17</v>
      </c>
      <c r="I582" t="s">
        <v>59</v>
      </c>
      <c r="J582">
        <v>1257</v>
      </c>
      <c r="K582">
        <v>15084</v>
      </c>
      <c r="L582">
        <v>4.5</v>
      </c>
      <c r="M582">
        <v>1</v>
      </c>
      <c r="N582">
        <v>3</v>
      </c>
      <c r="O582">
        <v>2</v>
      </c>
    </row>
    <row r="583" spans="1:15" x14ac:dyDescent="0.3">
      <c r="A583">
        <v>582</v>
      </c>
      <c r="B583" t="s">
        <v>788</v>
      </c>
      <c r="C583" t="s">
        <v>789</v>
      </c>
      <c r="D583" t="s">
        <v>306</v>
      </c>
      <c r="E583" s="1">
        <v>43825</v>
      </c>
      <c r="F583" s="2">
        <f ca="1">DATEDIF(EmpTable[[#This Row],[Start Date]],TODAY(),"Y")</f>
        <v>6</v>
      </c>
      <c r="G583" t="s">
        <v>34</v>
      </c>
      <c r="H583" t="s">
        <v>28</v>
      </c>
      <c r="I583" t="s">
        <v>41</v>
      </c>
      <c r="J583">
        <v>819</v>
      </c>
      <c r="K583">
        <v>9828</v>
      </c>
      <c r="L583">
        <v>4.5</v>
      </c>
      <c r="M583">
        <v>5</v>
      </c>
      <c r="N583">
        <v>0</v>
      </c>
      <c r="O583">
        <v>7</v>
      </c>
    </row>
    <row r="584" spans="1:15" x14ac:dyDescent="0.3">
      <c r="A584">
        <v>583</v>
      </c>
      <c r="B584" t="s">
        <v>206</v>
      </c>
      <c r="C584" t="s">
        <v>556</v>
      </c>
      <c r="D584" t="s">
        <v>31</v>
      </c>
      <c r="E584" s="1">
        <v>43775</v>
      </c>
      <c r="F584" s="2">
        <f ca="1">DATEDIF(EmpTable[[#This Row],[Start Date]],TODAY(),"Y")</f>
        <v>6</v>
      </c>
      <c r="G584" t="s">
        <v>352</v>
      </c>
      <c r="H584" t="s">
        <v>28</v>
      </c>
      <c r="I584" t="s">
        <v>35</v>
      </c>
      <c r="J584">
        <v>3068</v>
      </c>
      <c r="K584">
        <v>36816</v>
      </c>
      <c r="L584">
        <v>2</v>
      </c>
      <c r="M584">
        <v>4</v>
      </c>
      <c r="N584">
        <v>0</v>
      </c>
      <c r="O584">
        <v>8</v>
      </c>
    </row>
    <row r="585" spans="1:15" x14ac:dyDescent="0.3">
      <c r="A585">
        <v>584</v>
      </c>
      <c r="B585" t="s">
        <v>126</v>
      </c>
      <c r="C585" t="s">
        <v>790</v>
      </c>
      <c r="D585" t="s">
        <v>31</v>
      </c>
      <c r="E585" s="1">
        <v>43733</v>
      </c>
      <c r="F585" s="2">
        <f ca="1">DATEDIF(EmpTable[[#This Row],[Start Date]],TODAY(),"Y")</f>
        <v>6</v>
      </c>
      <c r="G585" t="s">
        <v>49</v>
      </c>
      <c r="H585" t="s">
        <v>47</v>
      </c>
      <c r="I585" t="s">
        <v>897</v>
      </c>
      <c r="J585">
        <v>1814</v>
      </c>
      <c r="K585">
        <v>21768</v>
      </c>
      <c r="L585">
        <v>3</v>
      </c>
      <c r="M585">
        <v>0</v>
      </c>
      <c r="N585">
        <v>0</v>
      </c>
      <c r="O585">
        <v>6</v>
      </c>
    </row>
    <row r="586" spans="1:15" x14ac:dyDescent="0.3">
      <c r="A586">
        <v>585</v>
      </c>
      <c r="B586" t="s">
        <v>356</v>
      </c>
      <c r="C586" t="s">
        <v>791</v>
      </c>
      <c r="D586" t="s">
        <v>31</v>
      </c>
      <c r="E586" s="1">
        <v>43605</v>
      </c>
      <c r="F586" s="2">
        <f ca="1">DATEDIF(EmpTable[[#This Row],[Start Date]],TODAY(),"Y")</f>
        <v>6</v>
      </c>
      <c r="G586" t="s">
        <v>16</v>
      </c>
      <c r="H586" t="s">
        <v>17</v>
      </c>
      <c r="I586" t="s">
        <v>897</v>
      </c>
      <c r="J586">
        <v>1076</v>
      </c>
      <c r="K586">
        <v>12912</v>
      </c>
      <c r="L586">
        <v>5</v>
      </c>
      <c r="M586">
        <v>1</v>
      </c>
      <c r="N586">
        <v>0</v>
      </c>
      <c r="O586">
        <v>4</v>
      </c>
    </row>
    <row r="587" spans="1:15" x14ac:dyDescent="0.3">
      <c r="A587">
        <v>586</v>
      </c>
      <c r="B587" t="s">
        <v>792</v>
      </c>
      <c r="C587" t="s">
        <v>793</v>
      </c>
      <c r="D587" t="s">
        <v>306</v>
      </c>
      <c r="E587" s="1">
        <v>42736</v>
      </c>
      <c r="F587" s="2">
        <f ca="1">DATEDIF(EmpTable[[#This Row],[Start Date]],TODAY(),"Y")</f>
        <v>9</v>
      </c>
      <c r="G587" t="s">
        <v>162</v>
      </c>
      <c r="H587" t="s">
        <v>17</v>
      </c>
      <c r="I587" t="s">
        <v>35</v>
      </c>
      <c r="J587">
        <v>3120</v>
      </c>
      <c r="K587">
        <v>37440</v>
      </c>
      <c r="L587">
        <v>3</v>
      </c>
      <c r="M587">
        <v>3</v>
      </c>
      <c r="N587">
        <v>0</v>
      </c>
      <c r="O587">
        <v>2</v>
      </c>
    </row>
    <row r="588" spans="1:15" x14ac:dyDescent="0.3">
      <c r="A588">
        <v>587</v>
      </c>
      <c r="B588" t="s">
        <v>98</v>
      </c>
      <c r="C588" t="s">
        <v>794</v>
      </c>
      <c r="D588" t="s">
        <v>306</v>
      </c>
      <c r="E588" s="1">
        <v>44072</v>
      </c>
      <c r="F588" s="2">
        <f ca="1">DATEDIF(EmpTable[[#This Row],[Start Date]],TODAY(),"Y")</f>
        <v>5</v>
      </c>
      <c r="G588" t="s">
        <v>16</v>
      </c>
      <c r="H588" t="s">
        <v>17</v>
      </c>
      <c r="I588" t="s">
        <v>35</v>
      </c>
      <c r="J588">
        <v>1359</v>
      </c>
      <c r="K588">
        <v>16308</v>
      </c>
      <c r="L588">
        <v>2</v>
      </c>
      <c r="M588">
        <v>0</v>
      </c>
      <c r="N588">
        <v>0</v>
      </c>
      <c r="O588">
        <v>8</v>
      </c>
    </row>
    <row r="589" spans="1:15" x14ac:dyDescent="0.3">
      <c r="A589">
        <v>588</v>
      </c>
      <c r="B589" t="s">
        <v>32</v>
      </c>
      <c r="C589" t="s">
        <v>795</v>
      </c>
      <c r="D589" t="s">
        <v>31</v>
      </c>
      <c r="E589" s="1">
        <v>43834</v>
      </c>
      <c r="F589" s="2">
        <f ca="1">DATEDIF(EmpTable[[#This Row],[Start Date]],TODAY(),"Y")</f>
        <v>6</v>
      </c>
      <c r="G589" t="s">
        <v>27</v>
      </c>
      <c r="H589" t="s">
        <v>17</v>
      </c>
      <c r="I589" t="s">
        <v>35</v>
      </c>
      <c r="J589">
        <v>3391</v>
      </c>
      <c r="K589">
        <v>40692</v>
      </c>
      <c r="L589">
        <v>1</v>
      </c>
      <c r="M589">
        <v>0</v>
      </c>
      <c r="N589">
        <v>3</v>
      </c>
      <c r="O589">
        <v>1</v>
      </c>
    </row>
    <row r="590" spans="1:15" x14ac:dyDescent="0.3">
      <c r="A590">
        <v>589</v>
      </c>
      <c r="B590" t="s">
        <v>796</v>
      </c>
      <c r="C590" t="s">
        <v>32</v>
      </c>
      <c r="D590" t="s">
        <v>306</v>
      </c>
      <c r="E590" s="1">
        <v>44054</v>
      </c>
      <c r="F590" s="2">
        <f ca="1">DATEDIF(EmpTable[[#This Row],[Start Date]],TODAY(),"Y")</f>
        <v>5</v>
      </c>
      <c r="G590" t="s">
        <v>49</v>
      </c>
      <c r="H590" t="s">
        <v>47</v>
      </c>
      <c r="I590" t="s">
        <v>41</v>
      </c>
      <c r="J590">
        <v>1892</v>
      </c>
      <c r="K590">
        <v>22704</v>
      </c>
      <c r="L590">
        <v>5</v>
      </c>
      <c r="M590">
        <v>0</v>
      </c>
      <c r="N590">
        <v>0</v>
      </c>
      <c r="O590">
        <v>6</v>
      </c>
    </row>
    <row r="591" spans="1:15" x14ac:dyDescent="0.3">
      <c r="A591">
        <v>590</v>
      </c>
      <c r="B591" t="s">
        <v>29</v>
      </c>
      <c r="C591" t="s">
        <v>797</v>
      </c>
      <c r="D591" t="s">
        <v>31</v>
      </c>
      <c r="E591" s="1">
        <v>43884</v>
      </c>
      <c r="F591" s="2">
        <f ca="1">DATEDIF(EmpTable[[#This Row],[Start Date]],TODAY(),"Y")</f>
        <v>6</v>
      </c>
      <c r="G591" t="s">
        <v>27</v>
      </c>
      <c r="H591" t="s">
        <v>17</v>
      </c>
      <c r="I591" t="s">
        <v>18</v>
      </c>
      <c r="J591">
        <v>2639</v>
      </c>
      <c r="K591">
        <v>31668</v>
      </c>
      <c r="L591">
        <v>1</v>
      </c>
      <c r="M591">
        <v>1</v>
      </c>
      <c r="N591">
        <v>0</v>
      </c>
      <c r="O591">
        <v>3</v>
      </c>
    </row>
    <row r="592" spans="1:15" x14ac:dyDescent="0.3">
      <c r="A592">
        <v>591</v>
      </c>
      <c r="B592" t="s">
        <v>333</v>
      </c>
      <c r="C592" t="s">
        <v>798</v>
      </c>
      <c r="D592" t="s">
        <v>306</v>
      </c>
      <c r="E592" s="1">
        <v>44039</v>
      </c>
      <c r="F592" s="2">
        <f ca="1">DATEDIF(EmpTable[[#This Row],[Start Date]],TODAY(),"Y")</f>
        <v>5</v>
      </c>
      <c r="G592" t="s">
        <v>52</v>
      </c>
      <c r="H592" t="s">
        <v>17</v>
      </c>
      <c r="I592" t="s">
        <v>35</v>
      </c>
      <c r="J592">
        <v>1580</v>
      </c>
      <c r="K592">
        <v>18960</v>
      </c>
      <c r="L592">
        <v>5</v>
      </c>
      <c r="M592">
        <v>2</v>
      </c>
      <c r="N592">
        <v>5</v>
      </c>
      <c r="O592">
        <v>6</v>
      </c>
    </row>
    <row r="593" spans="1:15" x14ac:dyDescent="0.3">
      <c r="A593">
        <v>592</v>
      </c>
      <c r="B593" t="s">
        <v>185</v>
      </c>
      <c r="C593" t="s">
        <v>799</v>
      </c>
      <c r="D593" t="s">
        <v>31</v>
      </c>
      <c r="E593" s="1">
        <v>43692</v>
      </c>
      <c r="F593" s="2">
        <f ca="1">DATEDIF(EmpTable[[#This Row],[Start Date]],TODAY(),"Y")</f>
        <v>6</v>
      </c>
      <c r="G593" t="s">
        <v>16</v>
      </c>
      <c r="H593" t="s">
        <v>17</v>
      </c>
      <c r="I593" t="s">
        <v>35</v>
      </c>
      <c r="J593">
        <v>2186</v>
      </c>
      <c r="K593">
        <v>26232</v>
      </c>
      <c r="L593">
        <v>3</v>
      </c>
      <c r="M593">
        <v>0</v>
      </c>
      <c r="N593">
        <v>0</v>
      </c>
      <c r="O593">
        <v>4</v>
      </c>
    </row>
    <row r="594" spans="1:15" x14ac:dyDescent="0.3">
      <c r="A594">
        <v>593</v>
      </c>
      <c r="B594" t="s">
        <v>32</v>
      </c>
      <c r="C594" t="s">
        <v>720</v>
      </c>
      <c r="D594" t="s">
        <v>31</v>
      </c>
      <c r="E594" s="1">
        <v>43684</v>
      </c>
      <c r="F594" s="2">
        <f ca="1">DATEDIF(EmpTable[[#This Row],[Start Date]],TODAY(),"Y")</f>
        <v>6</v>
      </c>
      <c r="G594" t="s">
        <v>52</v>
      </c>
      <c r="H594" t="s">
        <v>28</v>
      </c>
      <c r="I594" t="s">
        <v>18</v>
      </c>
      <c r="J594">
        <v>1574</v>
      </c>
      <c r="K594">
        <v>18888</v>
      </c>
      <c r="L594">
        <v>2</v>
      </c>
      <c r="M594">
        <v>0</v>
      </c>
      <c r="N594">
        <v>0</v>
      </c>
      <c r="O594">
        <v>6</v>
      </c>
    </row>
    <row r="595" spans="1:15" x14ac:dyDescent="0.3">
      <c r="A595">
        <v>594</v>
      </c>
      <c r="B595" t="s">
        <v>717</v>
      </c>
      <c r="C595" t="s">
        <v>800</v>
      </c>
      <c r="D595" t="s">
        <v>306</v>
      </c>
      <c r="E595" s="1">
        <v>43154</v>
      </c>
      <c r="F595" s="2">
        <f ca="1">DATEDIF(EmpTable[[#This Row],[Start Date]],TODAY(),"Y")</f>
        <v>8</v>
      </c>
      <c r="G595" t="s">
        <v>40</v>
      </c>
      <c r="H595" t="s">
        <v>21</v>
      </c>
      <c r="I595" t="s">
        <v>35</v>
      </c>
      <c r="J595">
        <v>2013</v>
      </c>
      <c r="K595">
        <v>24156</v>
      </c>
      <c r="L595">
        <v>4.5</v>
      </c>
      <c r="M595">
        <v>6</v>
      </c>
      <c r="N595">
        <v>0</v>
      </c>
      <c r="O595">
        <v>8</v>
      </c>
    </row>
    <row r="596" spans="1:15" x14ac:dyDescent="0.3">
      <c r="A596">
        <v>595</v>
      </c>
      <c r="B596" t="s">
        <v>418</v>
      </c>
      <c r="C596" t="s">
        <v>801</v>
      </c>
      <c r="D596" t="s">
        <v>306</v>
      </c>
      <c r="E596" s="1">
        <v>43835</v>
      </c>
      <c r="F596" s="2">
        <f ca="1">DATEDIF(EmpTable[[#This Row],[Start Date]],TODAY(),"Y")</f>
        <v>6</v>
      </c>
      <c r="G596" t="s">
        <v>49</v>
      </c>
      <c r="H596" t="s">
        <v>17</v>
      </c>
      <c r="I596" t="s">
        <v>35</v>
      </c>
      <c r="J596">
        <v>2075</v>
      </c>
      <c r="K596">
        <v>24900</v>
      </c>
      <c r="L596">
        <v>2</v>
      </c>
      <c r="M596">
        <v>0</v>
      </c>
      <c r="N596">
        <v>0</v>
      </c>
      <c r="O596">
        <v>5</v>
      </c>
    </row>
    <row r="597" spans="1:15" x14ac:dyDescent="0.3">
      <c r="A597">
        <v>596</v>
      </c>
      <c r="B597" t="s">
        <v>121</v>
      </c>
      <c r="C597" t="s">
        <v>802</v>
      </c>
      <c r="D597" t="s">
        <v>306</v>
      </c>
      <c r="E597" s="1">
        <v>43225</v>
      </c>
      <c r="F597" s="2">
        <f ca="1">DATEDIF(EmpTable[[#This Row],[Start Date]],TODAY(),"Y")</f>
        <v>7</v>
      </c>
      <c r="G597" t="s">
        <v>27</v>
      </c>
      <c r="H597" t="s">
        <v>17</v>
      </c>
      <c r="I597" t="s">
        <v>35</v>
      </c>
      <c r="J597">
        <v>1372</v>
      </c>
      <c r="K597">
        <v>16464</v>
      </c>
      <c r="L597">
        <v>1</v>
      </c>
      <c r="M597">
        <v>0</v>
      </c>
      <c r="N597">
        <v>3</v>
      </c>
      <c r="O597">
        <v>2</v>
      </c>
    </row>
    <row r="598" spans="1:15" x14ac:dyDescent="0.3">
      <c r="A598">
        <v>597</v>
      </c>
      <c r="B598" t="s">
        <v>169</v>
      </c>
      <c r="C598" t="s">
        <v>803</v>
      </c>
      <c r="D598" t="s">
        <v>31</v>
      </c>
      <c r="E598" s="1">
        <v>43315</v>
      </c>
      <c r="F598" s="2">
        <f ca="1">DATEDIF(EmpTable[[#This Row],[Start Date]],TODAY(),"Y")</f>
        <v>7</v>
      </c>
      <c r="G598" t="s">
        <v>52</v>
      </c>
      <c r="H598" t="s">
        <v>17</v>
      </c>
      <c r="I598" t="s">
        <v>41</v>
      </c>
      <c r="J598">
        <v>2026</v>
      </c>
      <c r="K598">
        <v>24312</v>
      </c>
      <c r="L598">
        <v>4.5</v>
      </c>
      <c r="M598">
        <v>0</v>
      </c>
      <c r="N598">
        <v>0</v>
      </c>
      <c r="O598">
        <v>7</v>
      </c>
    </row>
    <row r="599" spans="1:15" x14ac:dyDescent="0.3">
      <c r="A599">
        <v>598</v>
      </c>
      <c r="B599" t="s">
        <v>804</v>
      </c>
      <c r="C599" t="s">
        <v>805</v>
      </c>
      <c r="D599" t="s">
        <v>31</v>
      </c>
      <c r="E599" s="1">
        <v>42854</v>
      </c>
      <c r="F599" s="2">
        <f ca="1">DATEDIF(EmpTable[[#This Row],[Start Date]],TODAY(),"Y")</f>
        <v>8</v>
      </c>
      <c r="G599" t="s">
        <v>27</v>
      </c>
      <c r="H599" t="s">
        <v>28</v>
      </c>
      <c r="I599" t="s">
        <v>35</v>
      </c>
      <c r="J599">
        <v>1351</v>
      </c>
      <c r="K599">
        <v>16212</v>
      </c>
      <c r="L599">
        <v>2</v>
      </c>
      <c r="M599">
        <v>0</v>
      </c>
      <c r="N599">
        <v>0</v>
      </c>
      <c r="O599">
        <v>8</v>
      </c>
    </row>
    <row r="600" spans="1:15" x14ac:dyDescent="0.3">
      <c r="A600">
        <v>599</v>
      </c>
      <c r="B600" t="s">
        <v>185</v>
      </c>
      <c r="C600" t="s">
        <v>806</v>
      </c>
      <c r="D600" t="s">
        <v>31</v>
      </c>
      <c r="E600" s="1">
        <v>42884</v>
      </c>
      <c r="F600" s="2">
        <f ca="1">DATEDIF(EmpTable[[#This Row],[Start Date]],TODAY(),"Y")</f>
        <v>8</v>
      </c>
      <c r="G600" t="s">
        <v>16</v>
      </c>
      <c r="H600" t="s">
        <v>17</v>
      </c>
      <c r="I600" t="s">
        <v>18</v>
      </c>
      <c r="J600">
        <v>1111</v>
      </c>
      <c r="K600">
        <v>13332</v>
      </c>
      <c r="L600">
        <v>1</v>
      </c>
      <c r="M600">
        <v>3</v>
      </c>
      <c r="N600">
        <v>0</v>
      </c>
      <c r="O600">
        <v>6</v>
      </c>
    </row>
    <row r="601" spans="1:15" x14ac:dyDescent="0.3">
      <c r="A601">
        <v>600</v>
      </c>
      <c r="B601" t="s">
        <v>48</v>
      </c>
      <c r="C601" t="s">
        <v>807</v>
      </c>
      <c r="D601" t="s">
        <v>31</v>
      </c>
      <c r="E601" s="1">
        <v>44016</v>
      </c>
      <c r="F601" s="2">
        <f ca="1">DATEDIF(EmpTable[[#This Row],[Start Date]],TODAY(),"Y")</f>
        <v>5</v>
      </c>
      <c r="G601" t="s">
        <v>16</v>
      </c>
      <c r="H601" t="s">
        <v>17</v>
      </c>
      <c r="I601" t="s">
        <v>35</v>
      </c>
      <c r="J601">
        <v>1554</v>
      </c>
      <c r="K601">
        <v>18648</v>
      </c>
      <c r="L601">
        <v>5</v>
      </c>
      <c r="M601">
        <v>6</v>
      </c>
      <c r="N601">
        <v>5</v>
      </c>
      <c r="O601">
        <v>8</v>
      </c>
    </row>
    <row r="602" spans="1:15" x14ac:dyDescent="0.3">
      <c r="A602">
        <v>601</v>
      </c>
      <c r="B602" t="s">
        <v>683</v>
      </c>
      <c r="C602" t="s">
        <v>808</v>
      </c>
      <c r="D602" t="s">
        <v>31</v>
      </c>
      <c r="E602" s="1">
        <v>43758</v>
      </c>
      <c r="F602" s="2">
        <f ca="1">DATEDIF(EmpTable[[#This Row],[Start Date]],TODAY(),"Y")</f>
        <v>6</v>
      </c>
      <c r="G602" t="s">
        <v>76</v>
      </c>
      <c r="H602" t="s">
        <v>21</v>
      </c>
      <c r="I602" t="s">
        <v>18</v>
      </c>
      <c r="J602">
        <v>3057</v>
      </c>
      <c r="K602">
        <v>36684</v>
      </c>
      <c r="L602">
        <v>5</v>
      </c>
      <c r="M602">
        <v>0</v>
      </c>
      <c r="N602">
        <v>0</v>
      </c>
      <c r="O602">
        <v>0</v>
      </c>
    </row>
    <row r="603" spans="1:15" x14ac:dyDescent="0.3">
      <c r="A603">
        <v>602</v>
      </c>
      <c r="B603" t="s">
        <v>356</v>
      </c>
      <c r="C603" t="s">
        <v>809</v>
      </c>
      <c r="D603" t="s">
        <v>31</v>
      </c>
      <c r="E603" s="1">
        <v>43453</v>
      </c>
      <c r="F603" s="2">
        <f ca="1">DATEDIF(EmpTable[[#This Row],[Start Date]],TODAY(),"Y")</f>
        <v>7</v>
      </c>
      <c r="G603" t="s">
        <v>49</v>
      </c>
      <c r="H603" t="s">
        <v>21</v>
      </c>
      <c r="I603" t="s">
        <v>59</v>
      </c>
      <c r="J603">
        <v>1733</v>
      </c>
      <c r="K603">
        <v>20796</v>
      </c>
      <c r="L603">
        <v>3</v>
      </c>
      <c r="M603">
        <v>0</v>
      </c>
      <c r="N603">
        <v>0</v>
      </c>
      <c r="O603">
        <v>3</v>
      </c>
    </row>
    <row r="604" spans="1:15" x14ac:dyDescent="0.3">
      <c r="A604">
        <v>603</v>
      </c>
      <c r="B604" t="s">
        <v>29</v>
      </c>
      <c r="C604" t="s">
        <v>810</v>
      </c>
      <c r="D604" t="s">
        <v>31</v>
      </c>
      <c r="E604" s="1">
        <v>42393</v>
      </c>
      <c r="F604" s="2">
        <f ca="1">DATEDIF(EmpTable[[#This Row],[Start Date]],TODAY(),"Y")</f>
        <v>10</v>
      </c>
      <c r="G604" t="s">
        <v>162</v>
      </c>
      <c r="H604" t="s">
        <v>17</v>
      </c>
      <c r="I604" t="s">
        <v>41</v>
      </c>
      <c r="J604">
        <v>1511</v>
      </c>
      <c r="K604">
        <v>18132</v>
      </c>
      <c r="L604">
        <v>5</v>
      </c>
      <c r="M604">
        <v>0</v>
      </c>
      <c r="N604">
        <v>0</v>
      </c>
      <c r="O604">
        <v>2</v>
      </c>
    </row>
    <row r="605" spans="1:15" x14ac:dyDescent="0.3">
      <c r="A605">
        <v>604</v>
      </c>
      <c r="B605" t="s">
        <v>29</v>
      </c>
      <c r="C605" t="s">
        <v>112</v>
      </c>
      <c r="D605" t="s">
        <v>31</v>
      </c>
      <c r="E605" s="1">
        <v>42737</v>
      </c>
      <c r="F605" s="2">
        <f ca="1">DATEDIF(EmpTable[[#This Row],[Start Date]],TODAY(),"Y")</f>
        <v>9</v>
      </c>
      <c r="G605" t="s">
        <v>38</v>
      </c>
      <c r="H605" t="s">
        <v>17</v>
      </c>
      <c r="I605" t="s">
        <v>41</v>
      </c>
      <c r="J605">
        <v>2542</v>
      </c>
      <c r="K605">
        <v>30504</v>
      </c>
      <c r="L605">
        <v>5</v>
      </c>
      <c r="M605">
        <v>0</v>
      </c>
      <c r="N605">
        <v>6</v>
      </c>
      <c r="O605">
        <v>6</v>
      </c>
    </row>
    <row r="606" spans="1:15" x14ac:dyDescent="0.3">
      <c r="A606">
        <v>605</v>
      </c>
      <c r="B606" t="s">
        <v>811</v>
      </c>
      <c r="C606" t="s">
        <v>684</v>
      </c>
      <c r="D606" t="s">
        <v>306</v>
      </c>
      <c r="E606" s="1">
        <v>43830</v>
      </c>
      <c r="F606" s="2">
        <f ca="1">DATEDIF(EmpTable[[#This Row],[Start Date]],TODAY(),"Y")</f>
        <v>6</v>
      </c>
      <c r="G606" t="s">
        <v>16</v>
      </c>
      <c r="H606" t="s">
        <v>17</v>
      </c>
      <c r="I606" t="s">
        <v>35</v>
      </c>
      <c r="J606">
        <v>1573</v>
      </c>
      <c r="K606">
        <v>18876</v>
      </c>
      <c r="L606">
        <v>1</v>
      </c>
      <c r="M606">
        <v>2</v>
      </c>
      <c r="N606">
        <v>0</v>
      </c>
      <c r="O606">
        <v>3</v>
      </c>
    </row>
    <row r="607" spans="1:15" x14ac:dyDescent="0.3">
      <c r="A607">
        <v>606</v>
      </c>
      <c r="B607" t="s">
        <v>32</v>
      </c>
      <c r="C607" t="s">
        <v>812</v>
      </c>
      <c r="D607" t="s">
        <v>31</v>
      </c>
      <c r="E607" s="1">
        <v>43010</v>
      </c>
      <c r="F607" s="2">
        <f ca="1">DATEDIF(EmpTable[[#This Row],[Start Date]],TODAY(),"Y")</f>
        <v>8</v>
      </c>
      <c r="G607" t="s">
        <v>27</v>
      </c>
      <c r="H607" t="s">
        <v>47</v>
      </c>
      <c r="I607" t="s">
        <v>41</v>
      </c>
      <c r="J607">
        <v>2604</v>
      </c>
      <c r="K607">
        <v>31248</v>
      </c>
      <c r="L607">
        <v>3</v>
      </c>
      <c r="M607">
        <v>0</v>
      </c>
      <c r="N607">
        <v>0</v>
      </c>
      <c r="O607">
        <v>1</v>
      </c>
    </row>
    <row r="608" spans="1:15" x14ac:dyDescent="0.3">
      <c r="A608">
        <v>607</v>
      </c>
      <c r="B608" t="s">
        <v>813</v>
      </c>
      <c r="C608" t="s">
        <v>814</v>
      </c>
      <c r="D608" t="s">
        <v>306</v>
      </c>
      <c r="E608" s="1">
        <v>43592</v>
      </c>
      <c r="F608" s="2">
        <f ca="1">DATEDIF(EmpTable[[#This Row],[Start Date]],TODAY(),"Y")</f>
        <v>6</v>
      </c>
      <c r="G608" t="s">
        <v>76</v>
      </c>
      <c r="H608" t="s">
        <v>47</v>
      </c>
      <c r="I608" t="s">
        <v>18</v>
      </c>
      <c r="J608">
        <v>3152</v>
      </c>
      <c r="K608">
        <v>37824</v>
      </c>
      <c r="L608">
        <v>5</v>
      </c>
      <c r="M608">
        <v>0</v>
      </c>
      <c r="N608">
        <v>0</v>
      </c>
      <c r="O608">
        <v>8</v>
      </c>
    </row>
    <row r="609" spans="1:15" x14ac:dyDescent="0.3">
      <c r="A609">
        <v>608</v>
      </c>
      <c r="B609" t="s">
        <v>32</v>
      </c>
      <c r="C609" t="s">
        <v>166</v>
      </c>
      <c r="D609" t="s">
        <v>31</v>
      </c>
      <c r="E609" s="1">
        <v>44097</v>
      </c>
      <c r="F609" s="2">
        <f ca="1">DATEDIF(EmpTable[[#This Row],[Start Date]],TODAY(),"Y")</f>
        <v>5</v>
      </c>
      <c r="G609" t="s">
        <v>40</v>
      </c>
      <c r="H609" t="s">
        <v>28</v>
      </c>
      <c r="I609" t="s">
        <v>897</v>
      </c>
      <c r="J609">
        <v>2655</v>
      </c>
      <c r="K609">
        <v>31860</v>
      </c>
      <c r="L609">
        <v>5</v>
      </c>
      <c r="M609">
        <v>0</v>
      </c>
      <c r="N609">
        <v>0</v>
      </c>
      <c r="O609">
        <v>6</v>
      </c>
    </row>
    <row r="610" spans="1:15" x14ac:dyDescent="0.3">
      <c r="A610">
        <v>609</v>
      </c>
      <c r="B610" t="s">
        <v>32</v>
      </c>
      <c r="C610" t="s">
        <v>815</v>
      </c>
      <c r="D610" t="s">
        <v>31</v>
      </c>
      <c r="E610" s="1">
        <v>42412</v>
      </c>
      <c r="F610" s="2">
        <f ca="1">DATEDIF(EmpTable[[#This Row],[Start Date]],TODAY(),"Y")</f>
        <v>10</v>
      </c>
      <c r="G610" t="s">
        <v>72</v>
      </c>
      <c r="H610" t="s">
        <v>17</v>
      </c>
      <c r="I610" t="s">
        <v>59</v>
      </c>
      <c r="J610">
        <v>1405</v>
      </c>
      <c r="K610">
        <v>16860</v>
      </c>
      <c r="L610">
        <v>5</v>
      </c>
      <c r="M610">
        <v>6</v>
      </c>
      <c r="N610">
        <v>0</v>
      </c>
      <c r="O610">
        <v>10</v>
      </c>
    </row>
    <row r="611" spans="1:15" x14ac:dyDescent="0.3">
      <c r="A611">
        <v>610</v>
      </c>
      <c r="B611" t="s">
        <v>185</v>
      </c>
      <c r="C611" t="s">
        <v>816</v>
      </c>
      <c r="D611" t="s">
        <v>31</v>
      </c>
      <c r="E611" s="1">
        <v>43234</v>
      </c>
      <c r="F611" s="2">
        <f ca="1">DATEDIF(EmpTable[[#This Row],[Start Date]],TODAY(),"Y")</f>
        <v>7</v>
      </c>
      <c r="G611" t="s">
        <v>27</v>
      </c>
      <c r="H611" t="s">
        <v>17</v>
      </c>
      <c r="I611" t="s">
        <v>35</v>
      </c>
      <c r="J611">
        <v>3100</v>
      </c>
      <c r="K611">
        <v>37200</v>
      </c>
      <c r="L611">
        <v>5</v>
      </c>
      <c r="M611">
        <v>0</v>
      </c>
      <c r="N611">
        <v>0</v>
      </c>
      <c r="O611">
        <v>7</v>
      </c>
    </row>
    <row r="612" spans="1:15" x14ac:dyDescent="0.3">
      <c r="A612">
        <v>611</v>
      </c>
      <c r="B612" t="s">
        <v>205</v>
      </c>
      <c r="C612" t="s">
        <v>817</v>
      </c>
      <c r="D612" t="s">
        <v>306</v>
      </c>
      <c r="E612" s="1">
        <v>42947</v>
      </c>
      <c r="F612" s="2">
        <f ca="1">DATEDIF(EmpTable[[#This Row],[Start Date]],TODAY(),"Y")</f>
        <v>8</v>
      </c>
      <c r="G612" t="s">
        <v>27</v>
      </c>
      <c r="H612" t="s">
        <v>28</v>
      </c>
      <c r="I612" t="s">
        <v>897</v>
      </c>
      <c r="J612">
        <v>2729</v>
      </c>
      <c r="K612">
        <v>32748</v>
      </c>
      <c r="L612">
        <v>4.5</v>
      </c>
      <c r="M612">
        <v>0</v>
      </c>
      <c r="N612">
        <v>0</v>
      </c>
      <c r="O612">
        <v>6</v>
      </c>
    </row>
    <row r="613" spans="1:15" x14ac:dyDescent="0.3">
      <c r="A613">
        <v>612</v>
      </c>
      <c r="B613" t="s">
        <v>185</v>
      </c>
      <c r="C613" t="s">
        <v>349</v>
      </c>
      <c r="D613" t="s">
        <v>31</v>
      </c>
      <c r="E613" s="1">
        <v>43290</v>
      </c>
      <c r="F613" s="2">
        <f ca="1">DATEDIF(EmpTable[[#This Row],[Start Date]],TODAY(),"Y")</f>
        <v>7</v>
      </c>
      <c r="G613" t="s">
        <v>57</v>
      </c>
      <c r="H613" t="s">
        <v>17</v>
      </c>
      <c r="I613" t="s">
        <v>41</v>
      </c>
      <c r="J613">
        <v>1467</v>
      </c>
      <c r="K613">
        <v>17604</v>
      </c>
      <c r="L613">
        <v>5</v>
      </c>
      <c r="M613">
        <v>0</v>
      </c>
      <c r="N613">
        <v>0</v>
      </c>
      <c r="O613">
        <v>7</v>
      </c>
    </row>
    <row r="614" spans="1:15" x14ac:dyDescent="0.3">
      <c r="A614">
        <v>613</v>
      </c>
      <c r="B614" t="s">
        <v>36</v>
      </c>
      <c r="C614" t="s">
        <v>818</v>
      </c>
      <c r="D614" t="s">
        <v>306</v>
      </c>
      <c r="E614" s="1">
        <v>42791</v>
      </c>
      <c r="F614" s="2">
        <f ca="1">DATEDIF(EmpTable[[#This Row],[Start Date]],TODAY(),"Y")</f>
        <v>9</v>
      </c>
      <c r="G614" t="s">
        <v>27</v>
      </c>
      <c r="H614" t="s">
        <v>21</v>
      </c>
      <c r="I614" t="s">
        <v>41</v>
      </c>
      <c r="J614">
        <v>1612</v>
      </c>
      <c r="K614">
        <v>19344</v>
      </c>
      <c r="L614">
        <v>5</v>
      </c>
      <c r="M614">
        <v>0</v>
      </c>
      <c r="N614">
        <v>0</v>
      </c>
      <c r="O614">
        <v>4</v>
      </c>
    </row>
    <row r="615" spans="1:15" x14ac:dyDescent="0.3">
      <c r="A615">
        <v>614</v>
      </c>
      <c r="B615" t="s">
        <v>32</v>
      </c>
      <c r="C615" t="s">
        <v>819</v>
      </c>
      <c r="D615" t="s">
        <v>31</v>
      </c>
      <c r="E615" s="1">
        <v>43574</v>
      </c>
      <c r="F615" s="2">
        <f ca="1">DATEDIF(EmpTable[[#This Row],[Start Date]],TODAY(),"Y")</f>
        <v>6</v>
      </c>
      <c r="G615" t="s">
        <v>16</v>
      </c>
      <c r="H615" t="s">
        <v>17</v>
      </c>
      <c r="I615" t="s">
        <v>41</v>
      </c>
      <c r="J615">
        <v>2901</v>
      </c>
      <c r="K615">
        <v>34812</v>
      </c>
      <c r="L615">
        <v>5</v>
      </c>
      <c r="M615">
        <v>0</v>
      </c>
      <c r="N615">
        <v>0</v>
      </c>
      <c r="O615">
        <v>6</v>
      </c>
    </row>
    <row r="616" spans="1:15" x14ac:dyDescent="0.3">
      <c r="A616">
        <v>615</v>
      </c>
      <c r="B616" t="s">
        <v>115</v>
      </c>
      <c r="C616" t="s">
        <v>820</v>
      </c>
      <c r="D616" t="s">
        <v>31</v>
      </c>
      <c r="E616" s="1">
        <v>42952</v>
      </c>
      <c r="F616" s="2">
        <f ca="1">DATEDIF(EmpTable[[#This Row],[Start Date]],TODAY(),"Y")</f>
        <v>8</v>
      </c>
      <c r="G616" t="s">
        <v>162</v>
      </c>
      <c r="H616" t="s">
        <v>17</v>
      </c>
      <c r="I616" t="s">
        <v>41</v>
      </c>
      <c r="J616">
        <v>1999</v>
      </c>
      <c r="K616">
        <v>23988</v>
      </c>
      <c r="L616">
        <v>3</v>
      </c>
      <c r="M616">
        <v>0</v>
      </c>
      <c r="N616">
        <v>0</v>
      </c>
      <c r="O616">
        <v>4</v>
      </c>
    </row>
    <row r="617" spans="1:15" x14ac:dyDescent="0.3">
      <c r="A617">
        <v>616</v>
      </c>
      <c r="B617" t="s">
        <v>183</v>
      </c>
      <c r="C617" t="s">
        <v>166</v>
      </c>
      <c r="D617" t="s">
        <v>306</v>
      </c>
      <c r="E617" s="1">
        <v>43239</v>
      </c>
      <c r="F617" s="2">
        <f ca="1">DATEDIF(EmpTable[[#This Row],[Start Date]],TODAY(),"Y")</f>
        <v>7</v>
      </c>
      <c r="G617" t="s">
        <v>40</v>
      </c>
      <c r="H617" t="s">
        <v>21</v>
      </c>
      <c r="I617" t="s">
        <v>35</v>
      </c>
      <c r="J617">
        <v>705</v>
      </c>
      <c r="K617">
        <v>8460</v>
      </c>
      <c r="L617">
        <v>3</v>
      </c>
      <c r="M617">
        <v>6</v>
      </c>
      <c r="N617">
        <v>0</v>
      </c>
      <c r="O617">
        <v>8</v>
      </c>
    </row>
    <row r="618" spans="1:15" x14ac:dyDescent="0.3">
      <c r="A618">
        <v>617</v>
      </c>
      <c r="B618" t="s">
        <v>88</v>
      </c>
      <c r="C618" t="s">
        <v>821</v>
      </c>
      <c r="D618" t="s">
        <v>306</v>
      </c>
      <c r="E618" s="1">
        <v>43737</v>
      </c>
      <c r="F618" s="2">
        <f ca="1">DATEDIF(EmpTable[[#This Row],[Start Date]],TODAY(),"Y")</f>
        <v>6</v>
      </c>
      <c r="G618" t="s">
        <v>38</v>
      </c>
      <c r="H618" t="s">
        <v>17</v>
      </c>
      <c r="I618" t="s">
        <v>35</v>
      </c>
      <c r="J618">
        <v>3311</v>
      </c>
      <c r="K618">
        <v>39732</v>
      </c>
      <c r="L618">
        <v>4.5</v>
      </c>
      <c r="M618">
        <v>0</v>
      </c>
      <c r="N618">
        <v>0</v>
      </c>
      <c r="O618">
        <v>1</v>
      </c>
    </row>
    <row r="619" spans="1:15" x14ac:dyDescent="0.3">
      <c r="A619">
        <v>618</v>
      </c>
      <c r="B619" t="s">
        <v>538</v>
      </c>
      <c r="C619" t="s">
        <v>822</v>
      </c>
      <c r="D619" t="s">
        <v>306</v>
      </c>
      <c r="E619" s="1">
        <v>43107</v>
      </c>
      <c r="F619" s="2">
        <f ca="1">DATEDIF(EmpTable[[#This Row],[Start Date]],TODAY(),"Y")</f>
        <v>8</v>
      </c>
      <c r="G619" t="s">
        <v>27</v>
      </c>
      <c r="H619" t="s">
        <v>17</v>
      </c>
      <c r="I619" t="s">
        <v>18</v>
      </c>
      <c r="J619">
        <v>2516</v>
      </c>
      <c r="K619">
        <v>30192</v>
      </c>
      <c r="L619">
        <v>3</v>
      </c>
      <c r="M619">
        <v>6</v>
      </c>
      <c r="N619">
        <v>0</v>
      </c>
      <c r="O619">
        <v>3</v>
      </c>
    </row>
    <row r="620" spans="1:15" x14ac:dyDescent="0.3">
      <c r="A620">
        <v>619</v>
      </c>
      <c r="B620" t="s">
        <v>823</v>
      </c>
      <c r="C620" t="s">
        <v>824</v>
      </c>
      <c r="D620" t="s">
        <v>31</v>
      </c>
      <c r="E620" s="1">
        <v>43742</v>
      </c>
      <c r="F620" s="2">
        <f ca="1">DATEDIF(EmpTable[[#This Row],[Start Date]],TODAY(),"Y")</f>
        <v>6</v>
      </c>
      <c r="G620" t="s">
        <v>40</v>
      </c>
      <c r="H620" t="s">
        <v>21</v>
      </c>
      <c r="I620" t="s">
        <v>35</v>
      </c>
      <c r="J620">
        <v>2000</v>
      </c>
      <c r="K620">
        <v>24000</v>
      </c>
      <c r="L620">
        <v>3</v>
      </c>
      <c r="M620">
        <v>1</v>
      </c>
      <c r="N620">
        <v>0</v>
      </c>
      <c r="O620">
        <v>0</v>
      </c>
    </row>
    <row r="621" spans="1:15" x14ac:dyDescent="0.3">
      <c r="A621">
        <v>620</v>
      </c>
      <c r="B621" t="s">
        <v>488</v>
      </c>
      <c r="C621" t="s">
        <v>825</v>
      </c>
      <c r="D621" t="s">
        <v>306</v>
      </c>
      <c r="E621" s="1">
        <v>43735</v>
      </c>
      <c r="F621" s="2">
        <f ca="1">DATEDIF(EmpTable[[#This Row],[Start Date]],TODAY(),"Y")</f>
        <v>6</v>
      </c>
      <c r="G621" t="s">
        <v>52</v>
      </c>
      <c r="H621" t="s">
        <v>28</v>
      </c>
      <c r="I621" t="s">
        <v>59</v>
      </c>
      <c r="J621">
        <v>2860</v>
      </c>
      <c r="K621">
        <v>34320</v>
      </c>
      <c r="L621">
        <v>3</v>
      </c>
      <c r="M621">
        <v>0</v>
      </c>
      <c r="N621">
        <v>6</v>
      </c>
      <c r="O621">
        <v>7</v>
      </c>
    </row>
    <row r="622" spans="1:15" x14ac:dyDescent="0.3">
      <c r="A622">
        <v>621</v>
      </c>
      <c r="B622" t="s">
        <v>145</v>
      </c>
      <c r="C622" t="s">
        <v>826</v>
      </c>
      <c r="D622" t="s">
        <v>31</v>
      </c>
      <c r="E622" s="1">
        <v>43557</v>
      </c>
      <c r="F622" s="2">
        <f ca="1">DATEDIF(EmpTable[[#This Row],[Start Date]],TODAY(),"Y")</f>
        <v>6</v>
      </c>
      <c r="G622" t="s">
        <v>16</v>
      </c>
      <c r="H622" t="s">
        <v>17</v>
      </c>
      <c r="I622" t="s">
        <v>897</v>
      </c>
      <c r="J622">
        <v>943</v>
      </c>
      <c r="K622">
        <v>11316</v>
      </c>
      <c r="L622">
        <v>4.5</v>
      </c>
      <c r="M622">
        <v>0</v>
      </c>
      <c r="N622">
        <v>0</v>
      </c>
      <c r="O622">
        <v>1</v>
      </c>
    </row>
    <row r="623" spans="1:15" x14ac:dyDescent="0.3">
      <c r="A623">
        <v>622</v>
      </c>
      <c r="B623" t="s">
        <v>340</v>
      </c>
      <c r="C623" t="s">
        <v>827</v>
      </c>
      <c r="D623" t="s">
        <v>31</v>
      </c>
      <c r="E623" s="1">
        <v>43720</v>
      </c>
      <c r="F623" s="2">
        <f ca="1">DATEDIF(EmpTable[[#This Row],[Start Date]],TODAY(),"Y")</f>
        <v>6</v>
      </c>
      <c r="G623" t="s">
        <v>16</v>
      </c>
      <c r="H623" t="s">
        <v>47</v>
      </c>
      <c r="I623" t="s">
        <v>41</v>
      </c>
      <c r="J623">
        <v>1018</v>
      </c>
      <c r="K623">
        <v>12216</v>
      </c>
      <c r="L623">
        <v>2</v>
      </c>
      <c r="M623">
        <v>5</v>
      </c>
      <c r="N623">
        <v>0</v>
      </c>
      <c r="O623">
        <v>10</v>
      </c>
    </row>
    <row r="624" spans="1:15" x14ac:dyDescent="0.3">
      <c r="A624">
        <v>623</v>
      </c>
      <c r="B624" t="s">
        <v>115</v>
      </c>
      <c r="C624" t="s">
        <v>828</v>
      </c>
      <c r="D624" t="s">
        <v>31</v>
      </c>
      <c r="E624" s="1">
        <v>43502</v>
      </c>
      <c r="F624" s="2">
        <f ca="1">DATEDIF(EmpTable[[#This Row],[Start Date]],TODAY(),"Y")</f>
        <v>7</v>
      </c>
      <c r="G624" t="s">
        <v>16</v>
      </c>
      <c r="H624" t="s">
        <v>17</v>
      </c>
      <c r="I624" t="s">
        <v>59</v>
      </c>
      <c r="J624">
        <v>1835</v>
      </c>
      <c r="K624">
        <v>22020</v>
      </c>
      <c r="L624">
        <v>3</v>
      </c>
      <c r="M624">
        <v>1</v>
      </c>
      <c r="N624">
        <v>0</v>
      </c>
      <c r="O624">
        <v>50</v>
      </c>
    </row>
    <row r="625" spans="1:15" x14ac:dyDescent="0.3">
      <c r="A625">
        <v>624</v>
      </c>
      <c r="B625" t="s">
        <v>372</v>
      </c>
      <c r="C625" t="s">
        <v>829</v>
      </c>
      <c r="D625" t="s">
        <v>31</v>
      </c>
      <c r="E625" s="1">
        <v>43348</v>
      </c>
      <c r="F625" s="2">
        <f ca="1">DATEDIF(EmpTable[[#This Row],[Start Date]],TODAY(),"Y")</f>
        <v>7</v>
      </c>
      <c r="G625" t="s">
        <v>76</v>
      </c>
      <c r="H625" t="s">
        <v>47</v>
      </c>
      <c r="I625" t="s">
        <v>18</v>
      </c>
      <c r="J625">
        <v>2192</v>
      </c>
      <c r="K625">
        <v>26304</v>
      </c>
      <c r="L625">
        <v>4.5</v>
      </c>
      <c r="M625">
        <v>0</v>
      </c>
      <c r="N625">
        <v>4</v>
      </c>
      <c r="O625">
        <v>1</v>
      </c>
    </row>
    <row r="626" spans="1:15" x14ac:dyDescent="0.3">
      <c r="A626">
        <v>625</v>
      </c>
      <c r="B626" t="s">
        <v>830</v>
      </c>
      <c r="C626" t="s">
        <v>831</v>
      </c>
      <c r="D626" t="s">
        <v>31</v>
      </c>
      <c r="E626" s="1">
        <v>43641</v>
      </c>
      <c r="F626" s="2">
        <f ca="1">DATEDIF(EmpTable[[#This Row],[Start Date]],TODAY(),"Y")</f>
        <v>6</v>
      </c>
      <c r="G626" t="s">
        <v>27</v>
      </c>
      <c r="H626" t="s">
        <v>17</v>
      </c>
      <c r="I626" t="s">
        <v>41</v>
      </c>
      <c r="J626">
        <v>2875</v>
      </c>
      <c r="K626">
        <v>34500</v>
      </c>
      <c r="L626">
        <v>3</v>
      </c>
      <c r="M626">
        <v>0</v>
      </c>
      <c r="N626">
        <v>0</v>
      </c>
      <c r="O626">
        <v>4</v>
      </c>
    </row>
    <row r="627" spans="1:15" x14ac:dyDescent="0.3">
      <c r="A627">
        <v>626</v>
      </c>
      <c r="B627" t="s">
        <v>68</v>
      </c>
      <c r="C627" t="s">
        <v>831</v>
      </c>
      <c r="D627" t="s">
        <v>31</v>
      </c>
      <c r="E627" s="1">
        <v>43737</v>
      </c>
      <c r="F627" s="2">
        <f ca="1">DATEDIF(EmpTable[[#This Row],[Start Date]],TODAY(),"Y")</f>
        <v>6</v>
      </c>
      <c r="G627" t="s">
        <v>57</v>
      </c>
      <c r="H627" t="s">
        <v>21</v>
      </c>
      <c r="I627" t="s">
        <v>18</v>
      </c>
      <c r="J627">
        <v>1332</v>
      </c>
      <c r="K627">
        <v>15984</v>
      </c>
      <c r="L627">
        <v>2</v>
      </c>
      <c r="M627">
        <v>0</v>
      </c>
      <c r="N627">
        <v>0</v>
      </c>
      <c r="O627">
        <v>14</v>
      </c>
    </row>
    <row r="628" spans="1:15" x14ac:dyDescent="0.3">
      <c r="A628">
        <v>627</v>
      </c>
      <c r="B628" t="s">
        <v>32</v>
      </c>
      <c r="C628" t="s">
        <v>832</v>
      </c>
      <c r="D628" t="s">
        <v>31</v>
      </c>
      <c r="E628" s="1">
        <v>43071</v>
      </c>
      <c r="F628" s="2">
        <f ca="1">DATEDIF(EmpTable[[#This Row],[Start Date]],TODAY(),"Y")</f>
        <v>8</v>
      </c>
      <c r="G628" t="s">
        <v>49</v>
      </c>
      <c r="H628" t="s">
        <v>21</v>
      </c>
      <c r="I628" t="s">
        <v>35</v>
      </c>
      <c r="J628">
        <v>2023</v>
      </c>
      <c r="K628">
        <v>24276</v>
      </c>
      <c r="L628">
        <v>5</v>
      </c>
      <c r="M628">
        <v>6</v>
      </c>
      <c r="N628">
        <v>0</v>
      </c>
      <c r="O628">
        <v>5</v>
      </c>
    </row>
    <row r="629" spans="1:15" x14ac:dyDescent="0.3">
      <c r="A629">
        <v>628</v>
      </c>
      <c r="B629" t="s">
        <v>32</v>
      </c>
      <c r="C629" t="s">
        <v>833</v>
      </c>
      <c r="D629" t="s">
        <v>31</v>
      </c>
      <c r="E629" s="1">
        <v>44156</v>
      </c>
      <c r="F629" s="2">
        <f ca="1">DATEDIF(EmpTable[[#This Row],[Start Date]],TODAY(),"Y")</f>
        <v>5</v>
      </c>
      <c r="G629" t="s">
        <v>76</v>
      </c>
      <c r="H629" t="s">
        <v>17</v>
      </c>
      <c r="I629" t="s">
        <v>897</v>
      </c>
      <c r="J629">
        <v>2094</v>
      </c>
      <c r="K629">
        <v>25128</v>
      </c>
      <c r="L629">
        <v>4.5</v>
      </c>
      <c r="M629">
        <v>6</v>
      </c>
      <c r="N629">
        <v>5</v>
      </c>
      <c r="O629">
        <v>2</v>
      </c>
    </row>
    <row r="630" spans="1:15" x14ac:dyDescent="0.3">
      <c r="A630">
        <v>629</v>
      </c>
      <c r="B630" t="s">
        <v>32</v>
      </c>
      <c r="C630" t="s">
        <v>834</v>
      </c>
      <c r="D630" t="s">
        <v>31</v>
      </c>
      <c r="E630" s="1">
        <v>43617</v>
      </c>
      <c r="F630" s="2">
        <f ca="1">DATEDIF(EmpTable[[#This Row],[Start Date]],TODAY(),"Y")</f>
        <v>6</v>
      </c>
      <c r="G630" t="s">
        <v>44</v>
      </c>
      <c r="H630" t="s">
        <v>21</v>
      </c>
      <c r="I630" t="s">
        <v>35</v>
      </c>
      <c r="J630">
        <v>3006</v>
      </c>
      <c r="K630">
        <v>36072</v>
      </c>
      <c r="L630">
        <v>4.5</v>
      </c>
      <c r="M630">
        <v>0</v>
      </c>
      <c r="N630">
        <v>3</v>
      </c>
      <c r="O630">
        <v>7</v>
      </c>
    </row>
    <row r="631" spans="1:15" x14ac:dyDescent="0.3">
      <c r="A631">
        <v>630</v>
      </c>
      <c r="B631" t="s">
        <v>835</v>
      </c>
      <c r="C631" t="s">
        <v>836</v>
      </c>
      <c r="D631" t="s">
        <v>31</v>
      </c>
      <c r="E631" s="1">
        <v>43795</v>
      </c>
      <c r="F631" s="2">
        <f ca="1">DATEDIF(EmpTable[[#This Row],[Start Date]],TODAY(),"Y")</f>
        <v>6</v>
      </c>
      <c r="G631" t="s">
        <v>27</v>
      </c>
      <c r="H631" t="s">
        <v>28</v>
      </c>
      <c r="I631" t="s">
        <v>41</v>
      </c>
      <c r="J631">
        <v>2717</v>
      </c>
      <c r="K631">
        <v>32604</v>
      </c>
      <c r="L631">
        <v>5</v>
      </c>
      <c r="M631">
        <v>0</v>
      </c>
      <c r="N631">
        <v>0</v>
      </c>
      <c r="O631">
        <v>7</v>
      </c>
    </row>
    <row r="632" spans="1:15" x14ac:dyDescent="0.3">
      <c r="A632">
        <v>631</v>
      </c>
      <c r="B632" t="s">
        <v>832</v>
      </c>
      <c r="C632" t="s">
        <v>837</v>
      </c>
      <c r="D632" t="s">
        <v>31</v>
      </c>
      <c r="E632" s="1">
        <v>43326</v>
      </c>
      <c r="F632" s="2">
        <f ca="1">DATEDIF(EmpTable[[#This Row],[Start Date]],TODAY(),"Y")</f>
        <v>7</v>
      </c>
      <c r="G632" t="s">
        <v>75</v>
      </c>
      <c r="H632" t="s">
        <v>28</v>
      </c>
      <c r="I632" t="s">
        <v>41</v>
      </c>
      <c r="J632">
        <v>3135</v>
      </c>
      <c r="K632">
        <v>37620</v>
      </c>
      <c r="L632">
        <v>3</v>
      </c>
      <c r="M632">
        <v>1</v>
      </c>
      <c r="N632">
        <v>0</v>
      </c>
      <c r="O632">
        <v>5</v>
      </c>
    </row>
    <row r="633" spans="1:15" x14ac:dyDescent="0.3">
      <c r="A633">
        <v>632</v>
      </c>
      <c r="B633" t="s">
        <v>58</v>
      </c>
      <c r="C633" t="s">
        <v>45</v>
      </c>
      <c r="D633" t="s">
        <v>306</v>
      </c>
      <c r="E633" s="1">
        <v>43776</v>
      </c>
      <c r="F633" s="2">
        <f ca="1">DATEDIF(EmpTable[[#This Row],[Start Date]],TODAY(),"Y")</f>
        <v>6</v>
      </c>
      <c r="G633" t="s">
        <v>40</v>
      </c>
      <c r="H633" t="s">
        <v>28</v>
      </c>
      <c r="I633" t="s">
        <v>35</v>
      </c>
      <c r="J633">
        <v>2334</v>
      </c>
      <c r="K633">
        <v>28008</v>
      </c>
      <c r="L633">
        <v>1</v>
      </c>
      <c r="M633">
        <v>2</v>
      </c>
      <c r="N633">
        <v>0</v>
      </c>
      <c r="O633">
        <v>2</v>
      </c>
    </row>
    <row r="634" spans="1:15" x14ac:dyDescent="0.3">
      <c r="A634">
        <v>633</v>
      </c>
      <c r="B634" t="s">
        <v>171</v>
      </c>
      <c r="C634" t="s">
        <v>45</v>
      </c>
      <c r="D634" t="s">
        <v>306</v>
      </c>
      <c r="E634" s="1">
        <v>43487</v>
      </c>
      <c r="F634" s="2">
        <f ca="1">DATEDIF(EmpTable[[#This Row],[Start Date]],TODAY(),"Y")</f>
        <v>7</v>
      </c>
      <c r="G634" t="s">
        <v>40</v>
      </c>
      <c r="H634" t="s">
        <v>17</v>
      </c>
      <c r="I634" t="s">
        <v>35</v>
      </c>
      <c r="J634">
        <v>1661</v>
      </c>
      <c r="K634">
        <v>19932</v>
      </c>
      <c r="L634">
        <v>5</v>
      </c>
      <c r="M634">
        <v>4</v>
      </c>
      <c r="N634">
        <v>0</v>
      </c>
      <c r="O634">
        <v>9</v>
      </c>
    </row>
    <row r="635" spans="1:15" x14ac:dyDescent="0.3">
      <c r="A635">
        <v>634</v>
      </c>
      <c r="B635" t="s">
        <v>55</v>
      </c>
      <c r="C635" t="s">
        <v>838</v>
      </c>
      <c r="D635" t="s">
        <v>306</v>
      </c>
      <c r="E635" s="1">
        <v>43595</v>
      </c>
      <c r="F635" s="2">
        <f ca="1">DATEDIF(EmpTable[[#This Row],[Start Date]],TODAY(),"Y")</f>
        <v>6</v>
      </c>
      <c r="G635" t="s">
        <v>352</v>
      </c>
      <c r="H635" t="s">
        <v>17</v>
      </c>
      <c r="I635" t="s">
        <v>897</v>
      </c>
      <c r="J635">
        <v>1230</v>
      </c>
      <c r="K635">
        <v>14760</v>
      </c>
      <c r="L635">
        <v>5</v>
      </c>
      <c r="M635">
        <v>0</v>
      </c>
      <c r="N635">
        <v>6</v>
      </c>
      <c r="O635">
        <v>5</v>
      </c>
    </row>
    <row r="636" spans="1:15" x14ac:dyDescent="0.3">
      <c r="A636">
        <v>635</v>
      </c>
      <c r="B636" t="s">
        <v>36</v>
      </c>
      <c r="C636" t="s">
        <v>256</v>
      </c>
      <c r="D636" t="s">
        <v>306</v>
      </c>
      <c r="E636" s="1">
        <v>42434</v>
      </c>
      <c r="F636" s="2">
        <f ca="1">DATEDIF(EmpTable[[#This Row],[Start Date]],TODAY(),"Y")</f>
        <v>9</v>
      </c>
      <c r="G636" t="s">
        <v>38</v>
      </c>
      <c r="H636" t="s">
        <v>21</v>
      </c>
      <c r="I636" t="s">
        <v>41</v>
      </c>
      <c r="J636">
        <v>1483</v>
      </c>
      <c r="K636">
        <v>17796</v>
      </c>
      <c r="L636">
        <v>5</v>
      </c>
      <c r="M636">
        <v>0</v>
      </c>
      <c r="N636">
        <v>2</v>
      </c>
      <c r="O636">
        <v>8</v>
      </c>
    </row>
    <row r="637" spans="1:15" x14ac:dyDescent="0.3">
      <c r="A637">
        <v>636</v>
      </c>
      <c r="B637" t="s">
        <v>123</v>
      </c>
      <c r="C637" t="s">
        <v>839</v>
      </c>
      <c r="D637" t="s">
        <v>31</v>
      </c>
      <c r="E637" s="1">
        <v>43614</v>
      </c>
      <c r="F637" s="2">
        <f ca="1">DATEDIF(EmpTable[[#This Row],[Start Date]],TODAY(),"Y")</f>
        <v>6</v>
      </c>
      <c r="G637" t="s">
        <v>16</v>
      </c>
      <c r="H637" t="s">
        <v>28</v>
      </c>
      <c r="I637" t="s">
        <v>35</v>
      </c>
      <c r="J637">
        <v>2462</v>
      </c>
      <c r="K637">
        <v>29544</v>
      </c>
      <c r="L637">
        <v>3</v>
      </c>
      <c r="M637">
        <v>6</v>
      </c>
      <c r="N637">
        <v>3</v>
      </c>
      <c r="O637">
        <v>2</v>
      </c>
    </row>
    <row r="638" spans="1:15" x14ac:dyDescent="0.3">
      <c r="A638">
        <v>637</v>
      </c>
      <c r="B638" t="s">
        <v>717</v>
      </c>
      <c r="C638" t="s">
        <v>840</v>
      </c>
      <c r="D638" t="s">
        <v>306</v>
      </c>
      <c r="E638" s="1">
        <v>44194</v>
      </c>
      <c r="F638" s="2">
        <f ca="1">DATEDIF(EmpTable[[#This Row],[Start Date]],TODAY(),"Y")</f>
        <v>5</v>
      </c>
      <c r="G638" t="s">
        <v>76</v>
      </c>
      <c r="H638" t="s">
        <v>17</v>
      </c>
      <c r="I638" t="s">
        <v>897</v>
      </c>
      <c r="J638">
        <v>2180</v>
      </c>
      <c r="K638">
        <v>26160</v>
      </c>
      <c r="L638">
        <v>5</v>
      </c>
      <c r="M638">
        <v>3</v>
      </c>
      <c r="N638">
        <v>0</v>
      </c>
      <c r="O638">
        <v>0</v>
      </c>
    </row>
    <row r="639" spans="1:15" x14ac:dyDescent="0.3">
      <c r="A639">
        <v>638</v>
      </c>
      <c r="B639" t="s">
        <v>211</v>
      </c>
      <c r="C639" t="s">
        <v>841</v>
      </c>
      <c r="D639" t="s">
        <v>306</v>
      </c>
      <c r="E639" s="1">
        <v>42576</v>
      </c>
      <c r="F639" s="2">
        <f ca="1">DATEDIF(EmpTable[[#This Row],[Start Date]],TODAY(),"Y")</f>
        <v>9</v>
      </c>
      <c r="G639" t="s">
        <v>117</v>
      </c>
      <c r="H639" t="s">
        <v>17</v>
      </c>
      <c r="I639" t="s">
        <v>35</v>
      </c>
      <c r="J639">
        <v>943</v>
      </c>
      <c r="K639">
        <v>11316</v>
      </c>
      <c r="L639">
        <v>5</v>
      </c>
      <c r="M639">
        <v>0</v>
      </c>
      <c r="N639">
        <v>4</v>
      </c>
      <c r="O639">
        <v>7</v>
      </c>
    </row>
    <row r="640" spans="1:15" x14ac:dyDescent="0.3">
      <c r="A640">
        <v>639</v>
      </c>
      <c r="B640" t="s">
        <v>19</v>
      </c>
      <c r="C640" t="s">
        <v>842</v>
      </c>
      <c r="D640" t="s">
        <v>31</v>
      </c>
      <c r="E640" s="1">
        <v>43688</v>
      </c>
      <c r="F640" s="2">
        <f ca="1">DATEDIF(EmpTable[[#This Row],[Start Date]],TODAY(),"Y")</f>
        <v>6</v>
      </c>
      <c r="G640" t="s">
        <v>24</v>
      </c>
      <c r="H640" t="s">
        <v>17</v>
      </c>
      <c r="I640" t="s">
        <v>41</v>
      </c>
      <c r="J640">
        <v>2489</v>
      </c>
      <c r="K640">
        <v>29868</v>
      </c>
      <c r="L640">
        <v>3</v>
      </c>
      <c r="M640">
        <v>6</v>
      </c>
      <c r="N640">
        <v>0</v>
      </c>
      <c r="O640">
        <v>3</v>
      </c>
    </row>
    <row r="641" spans="1:15" x14ac:dyDescent="0.3">
      <c r="A641">
        <v>640</v>
      </c>
      <c r="B641" t="s">
        <v>194</v>
      </c>
      <c r="C641" t="s">
        <v>843</v>
      </c>
      <c r="D641" t="s">
        <v>31</v>
      </c>
      <c r="E641" s="1">
        <v>43781</v>
      </c>
      <c r="F641" s="2">
        <f ca="1">DATEDIF(EmpTable[[#This Row],[Start Date]],TODAY(),"Y")</f>
        <v>6</v>
      </c>
      <c r="G641" t="s">
        <v>34</v>
      </c>
      <c r="H641" t="s">
        <v>17</v>
      </c>
      <c r="I641" t="s">
        <v>59</v>
      </c>
      <c r="J641">
        <v>2279</v>
      </c>
      <c r="K641">
        <v>27348</v>
      </c>
      <c r="L641">
        <v>5</v>
      </c>
      <c r="M641">
        <v>0</v>
      </c>
      <c r="N641">
        <v>0</v>
      </c>
      <c r="O641">
        <v>4</v>
      </c>
    </row>
    <row r="642" spans="1:15" x14ac:dyDescent="0.3">
      <c r="A642">
        <v>641</v>
      </c>
      <c r="B642" t="s">
        <v>650</v>
      </c>
      <c r="C642" t="s">
        <v>626</v>
      </c>
      <c r="D642" t="s">
        <v>306</v>
      </c>
      <c r="E642" s="1">
        <v>43479</v>
      </c>
      <c r="F642" s="2">
        <f ca="1">DATEDIF(EmpTable[[#This Row],[Start Date]],TODAY(),"Y")</f>
        <v>7</v>
      </c>
      <c r="G642" t="s">
        <v>76</v>
      </c>
      <c r="H642" t="s">
        <v>21</v>
      </c>
      <c r="I642" t="s">
        <v>41</v>
      </c>
      <c r="J642">
        <v>840</v>
      </c>
      <c r="K642">
        <v>10080</v>
      </c>
      <c r="L642">
        <v>3</v>
      </c>
      <c r="M642">
        <v>4</v>
      </c>
      <c r="N642">
        <v>0</v>
      </c>
      <c r="O642">
        <v>10</v>
      </c>
    </row>
    <row r="643" spans="1:15" x14ac:dyDescent="0.3">
      <c r="A643">
        <v>642</v>
      </c>
      <c r="B643" t="s">
        <v>844</v>
      </c>
      <c r="C643" t="s">
        <v>282</v>
      </c>
      <c r="D643" t="s">
        <v>31</v>
      </c>
      <c r="E643" s="1">
        <v>43511</v>
      </c>
      <c r="F643" s="2">
        <f ca="1">DATEDIF(EmpTable[[#This Row],[Start Date]],TODAY(),"Y")</f>
        <v>7</v>
      </c>
      <c r="G643" t="s">
        <v>16</v>
      </c>
      <c r="H643" t="s">
        <v>17</v>
      </c>
      <c r="I643" t="s">
        <v>35</v>
      </c>
      <c r="J643">
        <v>1601</v>
      </c>
      <c r="K643">
        <v>19212</v>
      </c>
      <c r="L643">
        <v>5</v>
      </c>
      <c r="M643">
        <v>0</v>
      </c>
      <c r="N643">
        <v>0</v>
      </c>
      <c r="O643">
        <v>3</v>
      </c>
    </row>
    <row r="644" spans="1:15" x14ac:dyDescent="0.3">
      <c r="A644">
        <v>643</v>
      </c>
      <c r="B644" t="s">
        <v>218</v>
      </c>
      <c r="C644" t="s">
        <v>617</v>
      </c>
      <c r="D644" t="s">
        <v>31</v>
      </c>
      <c r="E644" s="1">
        <v>43218</v>
      </c>
      <c r="F644" s="2">
        <f ca="1">DATEDIF(EmpTable[[#This Row],[Start Date]],TODAY(),"Y")</f>
        <v>7</v>
      </c>
      <c r="G644" t="s">
        <v>40</v>
      </c>
      <c r="H644" t="s">
        <v>17</v>
      </c>
      <c r="I644" t="s">
        <v>35</v>
      </c>
      <c r="J644">
        <v>1414</v>
      </c>
      <c r="K644">
        <v>16968</v>
      </c>
      <c r="L644">
        <v>5</v>
      </c>
      <c r="M644">
        <v>4</v>
      </c>
      <c r="N644">
        <v>0</v>
      </c>
      <c r="O644">
        <v>10</v>
      </c>
    </row>
    <row r="645" spans="1:15" x14ac:dyDescent="0.3">
      <c r="A645">
        <v>644</v>
      </c>
      <c r="B645" t="s">
        <v>150</v>
      </c>
      <c r="C645" t="s">
        <v>845</v>
      </c>
      <c r="D645" t="s">
        <v>31</v>
      </c>
      <c r="E645" s="1">
        <v>43915</v>
      </c>
      <c r="F645" s="2">
        <f ca="1">DATEDIF(EmpTable[[#This Row],[Start Date]],TODAY(),"Y")</f>
        <v>5</v>
      </c>
      <c r="G645" t="s">
        <v>49</v>
      </c>
      <c r="H645" t="s">
        <v>28</v>
      </c>
      <c r="I645" t="s">
        <v>35</v>
      </c>
      <c r="J645">
        <v>905</v>
      </c>
      <c r="K645">
        <v>10860</v>
      </c>
      <c r="L645">
        <v>3</v>
      </c>
      <c r="M645">
        <v>0</v>
      </c>
      <c r="N645">
        <v>0</v>
      </c>
      <c r="O645">
        <v>8</v>
      </c>
    </row>
    <row r="646" spans="1:15" x14ac:dyDescent="0.3">
      <c r="A646">
        <v>645</v>
      </c>
      <c r="B646" t="s">
        <v>846</v>
      </c>
      <c r="C646" t="s">
        <v>322</v>
      </c>
      <c r="D646" t="s">
        <v>306</v>
      </c>
      <c r="E646" s="1">
        <v>43894</v>
      </c>
      <c r="F646" s="2">
        <f ca="1">DATEDIF(EmpTable[[#This Row],[Start Date]],TODAY(),"Y")</f>
        <v>5</v>
      </c>
      <c r="G646" t="s">
        <v>52</v>
      </c>
      <c r="H646" t="s">
        <v>28</v>
      </c>
      <c r="I646" t="s">
        <v>35</v>
      </c>
      <c r="J646">
        <v>2525</v>
      </c>
      <c r="K646">
        <v>30300</v>
      </c>
      <c r="L646">
        <v>3</v>
      </c>
      <c r="M646">
        <v>0</v>
      </c>
      <c r="N646">
        <v>0</v>
      </c>
      <c r="O646">
        <v>10</v>
      </c>
    </row>
    <row r="647" spans="1:15" x14ac:dyDescent="0.3">
      <c r="A647">
        <v>646</v>
      </c>
      <c r="B647" t="s">
        <v>32</v>
      </c>
      <c r="C647" t="s">
        <v>164</v>
      </c>
      <c r="D647" t="s">
        <v>31</v>
      </c>
      <c r="E647" s="1">
        <v>43245</v>
      </c>
      <c r="F647" s="2">
        <f ca="1">DATEDIF(EmpTable[[#This Row],[Start Date]],TODAY(),"Y")</f>
        <v>7</v>
      </c>
      <c r="G647" t="s">
        <v>38</v>
      </c>
      <c r="H647" t="s">
        <v>17</v>
      </c>
      <c r="I647" t="s">
        <v>35</v>
      </c>
      <c r="J647">
        <v>1412</v>
      </c>
      <c r="K647">
        <v>16944</v>
      </c>
      <c r="L647">
        <v>2</v>
      </c>
      <c r="M647">
        <v>0</v>
      </c>
      <c r="N647">
        <v>0</v>
      </c>
      <c r="O647">
        <v>7</v>
      </c>
    </row>
    <row r="648" spans="1:15" x14ac:dyDescent="0.3">
      <c r="A648">
        <v>647</v>
      </c>
      <c r="B648" t="s">
        <v>326</v>
      </c>
      <c r="C648" t="s">
        <v>847</v>
      </c>
      <c r="D648" t="s">
        <v>31</v>
      </c>
      <c r="E648" s="1">
        <v>43834</v>
      </c>
      <c r="F648" s="2">
        <f ca="1">DATEDIF(EmpTable[[#This Row],[Start Date]],TODAY(),"Y")</f>
        <v>6</v>
      </c>
      <c r="G648" t="s">
        <v>27</v>
      </c>
      <c r="H648" t="s">
        <v>47</v>
      </c>
      <c r="I648" t="s">
        <v>41</v>
      </c>
      <c r="J648">
        <v>2397</v>
      </c>
      <c r="K648">
        <v>28764</v>
      </c>
      <c r="L648">
        <v>3</v>
      </c>
      <c r="M648">
        <v>0</v>
      </c>
      <c r="N648">
        <v>0</v>
      </c>
      <c r="O648">
        <v>100</v>
      </c>
    </row>
    <row r="649" spans="1:15" x14ac:dyDescent="0.3">
      <c r="A649">
        <v>648</v>
      </c>
      <c r="B649" t="s">
        <v>32</v>
      </c>
      <c r="C649" t="s">
        <v>848</v>
      </c>
      <c r="D649" t="s">
        <v>31</v>
      </c>
      <c r="E649" s="1">
        <v>44055</v>
      </c>
      <c r="F649" s="2">
        <f ca="1">DATEDIF(EmpTable[[#This Row],[Start Date]],TODAY(),"Y")</f>
        <v>5</v>
      </c>
      <c r="G649" t="s">
        <v>40</v>
      </c>
      <c r="H649" t="s">
        <v>17</v>
      </c>
      <c r="I649" t="s">
        <v>35</v>
      </c>
      <c r="J649">
        <v>1153</v>
      </c>
      <c r="K649">
        <v>13836</v>
      </c>
      <c r="L649">
        <v>4.5</v>
      </c>
      <c r="M649">
        <v>0</v>
      </c>
      <c r="N649">
        <v>2</v>
      </c>
      <c r="O649">
        <v>10</v>
      </c>
    </row>
    <row r="650" spans="1:15" x14ac:dyDescent="0.3">
      <c r="A650">
        <v>649</v>
      </c>
      <c r="B650" t="s">
        <v>169</v>
      </c>
      <c r="C650" t="s">
        <v>849</v>
      </c>
      <c r="D650" t="s">
        <v>31</v>
      </c>
      <c r="E650" s="1">
        <v>42952</v>
      </c>
      <c r="F650" s="2">
        <f ca="1">DATEDIF(EmpTable[[#This Row],[Start Date]],TODAY(),"Y")</f>
        <v>8</v>
      </c>
      <c r="G650" t="s">
        <v>40</v>
      </c>
      <c r="H650" t="s">
        <v>17</v>
      </c>
      <c r="I650" t="s">
        <v>35</v>
      </c>
      <c r="J650">
        <v>2091</v>
      </c>
      <c r="K650">
        <v>25092</v>
      </c>
      <c r="L650">
        <v>2</v>
      </c>
      <c r="M650">
        <v>0</v>
      </c>
      <c r="N650">
        <v>0</v>
      </c>
      <c r="O650">
        <v>6</v>
      </c>
    </row>
    <row r="651" spans="1:15" x14ac:dyDescent="0.3">
      <c r="A651">
        <v>650</v>
      </c>
      <c r="B651" t="s">
        <v>19</v>
      </c>
      <c r="C651" t="s">
        <v>850</v>
      </c>
      <c r="D651" t="s">
        <v>31</v>
      </c>
      <c r="E651" s="1">
        <v>44011</v>
      </c>
      <c r="F651" s="2">
        <f ca="1">DATEDIF(EmpTable[[#This Row],[Start Date]],TODAY(),"Y")</f>
        <v>5</v>
      </c>
      <c r="G651" t="s">
        <v>27</v>
      </c>
      <c r="H651" t="s">
        <v>28</v>
      </c>
      <c r="I651" t="s">
        <v>18</v>
      </c>
      <c r="J651">
        <v>1444</v>
      </c>
      <c r="K651">
        <v>17328</v>
      </c>
      <c r="L651">
        <v>5</v>
      </c>
      <c r="M651">
        <v>3</v>
      </c>
      <c r="N651">
        <v>0</v>
      </c>
      <c r="O651">
        <v>7</v>
      </c>
    </row>
    <row r="652" spans="1:15" x14ac:dyDescent="0.3">
      <c r="A652">
        <v>651</v>
      </c>
      <c r="B652" t="s">
        <v>851</v>
      </c>
      <c r="C652" t="s">
        <v>852</v>
      </c>
      <c r="D652" t="s">
        <v>306</v>
      </c>
      <c r="E652" s="1">
        <v>42795</v>
      </c>
      <c r="F652" s="2">
        <f ca="1">DATEDIF(EmpTable[[#This Row],[Start Date]],TODAY(),"Y")</f>
        <v>8</v>
      </c>
      <c r="G652" t="s">
        <v>27</v>
      </c>
      <c r="H652" t="s">
        <v>17</v>
      </c>
      <c r="I652" t="s">
        <v>35</v>
      </c>
      <c r="J652">
        <v>2360</v>
      </c>
      <c r="K652">
        <v>28320</v>
      </c>
      <c r="L652">
        <v>4.5</v>
      </c>
      <c r="M652">
        <v>0</v>
      </c>
      <c r="N652">
        <v>0</v>
      </c>
      <c r="O652">
        <v>1</v>
      </c>
    </row>
    <row r="653" spans="1:15" x14ac:dyDescent="0.3">
      <c r="A653">
        <v>652</v>
      </c>
      <c r="B653" t="s">
        <v>32</v>
      </c>
      <c r="C653" t="s">
        <v>774</v>
      </c>
      <c r="D653" t="s">
        <v>31</v>
      </c>
      <c r="E653" s="1">
        <v>44177</v>
      </c>
      <c r="F653" s="2">
        <f ca="1">DATEDIF(EmpTable[[#This Row],[Start Date]],TODAY(),"Y")</f>
        <v>5</v>
      </c>
      <c r="G653" t="s">
        <v>52</v>
      </c>
      <c r="H653" t="s">
        <v>28</v>
      </c>
      <c r="I653" t="s">
        <v>35</v>
      </c>
      <c r="J653">
        <v>2576</v>
      </c>
      <c r="K653">
        <v>30912</v>
      </c>
      <c r="L653">
        <v>1</v>
      </c>
      <c r="M653">
        <v>6</v>
      </c>
      <c r="N653">
        <v>0</v>
      </c>
      <c r="O653">
        <v>6</v>
      </c>
    </row>
    <row r="654" spans="1:15" x14ac:dyDescent="0.3">
      <c r="A654">
        <v>653</v>
      </c>
      <c r="B654" t="s">
        <v>32</v>
      </c>
      <c r="C654" t="s">
        <v>853</v>
      </c>
      <c r="D654" t="s">
        <v>31</v>
      </c>
      <c r="E654" s="1">
        <v>43793</v>
      </c>
      <c r="F654" s="2">
        <f ca="1">DATEDIF(EmpTable[[#This Row],[Start Date]],TODAY(),"Y")</f>
        <v>6</v>
      </c>
      <c r="G654" t="s">
        <v>40</v>
      </c>
      <c r="H654" t="s">
        <v>17</v>
      </c>
      <c r="I654" t="s">
        <v>41</v>
      </c>
      <c r="J654">
        <v>2376</v>
      </c>
      <c r="K654">
        <v>28512</v>
      </c>
      <c r="L654">
        <v>2</v>
      </c>
      <c r="M654">
        <v>6</v>
      </c>
      <c r="N654">
        <v>0</v>
      </c>
      <c r="O654">
        <v>57</v>
      </c>
    </row>
    <row r="655" spans="1:15" x14ac:dyDescent="0.3">
      <c r="A655">
        <v>654</v>
      </c>
      <c r="B655" t="s">
        <v>436</v>
      </c>
      <c r="C655" t="s">
        <v>328</v>
      </c>
      <c r="D655" t="s">
        <v>31</v>
      </c>
      <c r="E655" s="1">
        <v>43681</v>
      </c>
      <c r="F655" s="2">
        <f ca="1">DATEDIF(EmpTable[[#This Row],[Start Date]],TODAY(),"Y")</f>
        <v>6</v>
      </c>
      <c r="G655" t="s">
        <v>52</v>
      </c>
      <c r="H655" t="s">
        <v>28</v>
      </c>
      <c r="I655" t="s">
        <v>35</v>
      </c>
      <c r="J655">
        <v>2924</v>
      </c>
      <c r="K655">
        <v>35088</v>
      </c>
      <c r="L655">
        <v>4.5</v>
      </c>
      <c r="M655">
        <v>0</v>
      </c>
      <c r="N655">
        <v>0</v>
      </c>
      <c r="O655">
        <v>10</v>
      </c>
    </row>
    <row r="656" spans="1:15" x14ac:dyDescent="0.3">
      <c r="A656">
        <v>655</v>
      </c>
      <c r="B656" t="s">
        <v>356</v>
      </c>
      <c r="C656" t="s">
        <v>854</v>
      </c>
      <c r="D656" t="s">
        <v>31</v>
      </c>
      <c r="E656" s="1">
        <v>42785</v>
      </c>
      <c r="F656" s="2">
        <f ca="1">DATEDIF(EmpTable[[#This Row],[Start Date]],TODAY(),"Y")</f>
        <v>9</v>
      </c>
      <c r="G656" t="s">
        <v>76</v>
      </c>
      <c r="H656" t="s">
        <v>21</v>
      </c>
      <c r="I656" t="s">
        <v>18</v>
      </c>
      <c r="J656">
        <v>2548</v>
      </c>
      <c r="K656">
        <v>30576</v>
      </c>
      <c r="L656">
        <v>1</v>
      </c>
      <c r="M656">
        <v>0</v>
      </c>
      <c r="N656">
        <v>0</v>
      </c>
      <c r="O656">
        <v>10</v>
      </c>
    </row>
    <row r="657" spans="1:15" x14ac:dyDescent="0.3">
      <c r="A657">
        <v>656</v>
      </c>
      <c r="B657" t="s">
        <v>855</v>
      </c>
      <c r="C657" t="s">
        <v>856</v>
      </c>
      <c r="D657" t="s">
        <v>31</v>
      </c>
      <c r="E657" s="1">
        <v>43852</v>
      </c>
      <c r="F657" s="2">
        <f ca="1">DATEDIF(EmpTable[[#This Row],[Start Date]],TODAY(),"Y")</f>
        <v>6</v>
      </c>
      <c r="G657" t="s">
        <v>40</v>
      </c>
      <c r="H657" t="s">
        <v>21</v>
      </c>
      <c r="I657" t="s">
        <v>59</v>
      </c>
      <c r="J657">
        <v>841</v>
      </c>
      <c r="K657">
        <v>10092</v>
      </c>
      <c r="L657">
        <v>1</v>
      </c>
      <c r="M657">
        <v>4</v>
      </c>
      <c r="N657">
        <v>0</v>
      </c>
      <c r="O657">
        <v>7</v>
      </c>
    </row>
    <row r="658" spans="1:15" x14ac:dyDescent="0.3">
      <c r="A658">
        <v>657</v>
      </c>
      <c r="B658" t="s">
        <v>55</v>
      </c>
      <c r="C658" t="s">
        <v>857</v>
      </c>
      <c r="D658" t="s">
        <v>306</v>
      </c>
      <c r="E658" s="1">
        <v>43966</v>
      </c>
      <c r="F658" s="2">
        <f ca="1">DATEDIF(EmpTable[[#This Row],[Start Date]],TODAY(),"Y")</f>
        <v>5</v>
      </c>
      <c r="G658" t="s">
        <v>27</v>
      </c>
      <c r="H658" t="s">
        <v>17</v>
      </c>
      <c r="I658" t="s">
        <v>35</v>
      </c>
      <c r="J658">
        <v>3017</v>
      </c>
      <c r="K658">
        <v>36204</v>
      </c>
      <c r="L658">
        <v>3</v>
      </c>
      <c r="M658">
        <v>0</v>
      </c>
      <c r="N658">
        <v>0</v>
      </c>
      <c r="O658">
        <v>6</v>
      </c>
    </row>
    <row r="659" spans="1:15" x14ac:dyDescent="0.3">
      <c r="A659">
        <v>658</v>
      </c>
      <c r="B659" t="s">
        <v>858</v>
      </c>
      <c r="C659" t="s">
        <v>859</v>
      </c>
      <c r="D659" t="s">
        <v>31</v>
      </c>
      <c r="E659" s="1">
        <v>43126</v>
      </c>
      <c r="F659" s="2">
        <f ca="1">DATEDIF(EmpTable[[#This Row],[Start Date]],TODAY(),"Y")</f>
        <v>8</v>
      </c>
      <c r="G659" t="s">
        <v>52</v>
      </c>
      <c r="H659" t="s">
        <v>28</v>
      </c>
      <c r="I659" t="s">
        <v>35</v>
      </c>
      <c r="J659">
        <v>1077</v>
      </c>
      <c r="K659">
        <v>12924</v>
      </c>
      <c r="L659">
        <v>5</v>
      </c>
      <c r="M659">
        <v>0</v>
      </c>
      <c r="N659">
        <v>0</v>
      </c>
      <c r="O659">
        <v>9</v>
      </c>
    </row>
    <row r="660" spans="1:15" x14ac:dyDescent="0.3">
      <c r="A660">
        <v>659</v>
      </c>
      <c r="B660" t="s">
        <v>209</v>
      </c>
      <c r="C660" t="s">
        <v>860</v>
      </c>
      <c r="D660" t="s">
        <v>306</v>
      </c>
      <c r="E660" s="1">
        <v>43223</v>
      </c>
      <c r="F660" s="2">
        <f ca="1">DATEDIF(EmpTable[[#This Row],[Start Date]],TODAY(),"Y")</f>
        <v>7</v>
      </c>
      <c r="G660" t="s">
        <v>57</v>
      </c>
      <c r="H660" t="s">
        <v>17</v>
      </c>
      <c r="I660" t="s">
        <v>59</v>
      </c>
      <c r="J660">
        <v>3316</v>
      </c>
      <c r="K660">
        <v>39792</v>
      </c>
      <c r="L660">
        <v>4.5</v>
      </c>
      <c r="M660">
        <v>0</v>
      </c>
      <c r="N660">
        <v>0</v>
      </c>
      <c r="O660">
        <v>8</v>
      </c>
    </row>
    <row r="661" spans="1:15" x14ac:dyDescent="0.3">
      <c r="A661">
        <v>660</v>
      </c>
      <c r="B661" t="s">
        <v>110</v>
      </c>
      <c r="C661" t="s">
        <v>388</v>
      </c>
      <c r="D661" t="s">
        <v>31</v>
      </c>
      <c r="E661" s="1">
        <v>43442</v>
      </c>
      <c r="F661" s="2">
        <f ca="1">DATEDIF(EmpTable[[#This Row],[Start Date]],TODAY(),"Y")</f>
        <v>7</v>
      </c>
      <c r="G661" t="s">
        <v>117</v>
      </c>
      <c r="H661" t="s">
        <v>47</v>
      </c>
      <c r="I661" t="s">
        <v>59</v>
      </c>
      <c r="J661">
        <v>2188</v>
      </c>
      <c r="K661">
        <v>26256</v>
      </c>
      <c r="L661">
        <v>4.5</v>
      </c>
      <c r="M661">
        <v>5</v>
      </c>
      <c r="N661">
        <v>0</v>
      </c>
      <c r="O661">
        <v>9</v>
      </c>
    </row>
    <row r="662" spans="1:15" x14ac:dyDescent="0.3">
      <c r="A662">
        <v>661</v>
      </c>
      <c r="B662" t="s">
        <v>861</v>
      </c>
      <c r="C662" t="s">
        <v>862</v>
      </c>
      <c r="D662" t="s">
        <v>31</v>
      </c>
      <c r="E662" s="1">
        <v>43500</v>
      </c>
      <c r="F662" s="2">
        <f ca="1">DATEDIF(EmpTable[[#This Row],[Start Date]],TODAY(),"Y")</f>
        <v>7</v>
      </c>
      <c r="G662" t="s">
        <v>117</v>
      </c>
      <c r="H662" t="s">
        <v>28</v>
      </c>
      <c r="I662" t="s">
        <v>59</v>
      </c>
      <c r="J662">
        <v>1684</v>
      </c>
      <c r="K662">
        <v>20208</v>
      </c>
      <c r="L662">
        <v>5</v>
      </c>
      <c r="M662">
        <v>0</v>
      </c>
      <c r="N662">
        <v>0</v>
      </c>
      <c r="O662">
        <v>6</v>
      </c>
    </row>
    <row r="663" spans="1:15" x14ac:dyDescent="0.3">
      <c r="A663">
        <v>662</v>
      </c>
      <c r="B663" t="s">
        <v>863</v>
      </c>
      <c r="C663" t="s">
        <v>864</v>
      </c>
      <c r="D663" t="s">
        <v>306</v>
      </c>
      <c r="E663" s="1">
        <v>43783</v>
      </c>
      <c r="F663" s="2">
        <f ca="1">DATEDIF(EmpTable[[#This Row],[Start Date]],TODAY(),"Y")</f>
        <v>6</v>
      </c>
      <c r="G663" t="s">
        <v>40</v>
      </c>
      <c r="H663" t="s">
        <v>17</v>
      </c>
      <c r="I663" t="s">
        <v>41</v>
      </c>
      <c r="J663">
        <v>716</v>
      </c>
      <c r="K663">
        <v>8592</v>
      </c>
      <c r="L663">
        <v>3</v>
      </c>
      <c r="M663">
        <v>0</v>
      </c>
      <c r="N663">
        <v>0</v>
      </c>
      <c r="O663">
        <v>8</v>
      </c>
    </row>
    <row r="664" spans="1:15" x14ac:dyDescent="0.3">
      <c r="A664">
        <v>663</v>
      </c>
      <c r="B664" t="s">
        <v>412</v>
      </c>
      <c r="C664" t="s">
        <v>475</v>
      </c>
      <c r="D664" t="s">
        <v>306</v>
      </c>
      <c r="E664" s="1">
        <v>43604</v>
      </c>
      <c r="F664" s="2">
        <f ca="1">DATEDIF(EmpTable[[#This Row],[Start Date]],TODAY(),"Y")</f>
        <v>6</v>
      </c>
      <c r="G664" t="s">
        <v>27</v>
      </c>
      <c r="H664" t="s">
        <v>17</v>
      </c>
      <c r="I664" t="s">
        <v>35</v>
      </c>
      <c r="J664">
        <v>2703</v>
      </c>
      <c r="K664">
        <v>32436</v>
      </c>
      <c r="L664">
        <v>2</v>
      </c>
      <c r="M664">
        <v>0</v>
      </c>
      <c r="N664">
        <v>0</v>
      </c>
      <c r="O664">
        <v>4</v>
      </c>
    </row>
    <row r="665" spans="1:15" x14ac:dyDescent="0.3">
      <c r="A665">
        <v>664</v>
      </c>
      <c r="B665" t="s">
        <v>70</v>
      </c>
      <c r="C665" t="s">
        <v>865</v>
      </c>
      <c r="D665" t="s">
        <v>31</v>
      </c>
      <c r="E665" s="1">
        <v>43289</v>
      </c>
      <c r="F665" s="2">
        <f ca="1">DATEDIF(EmpTable[[#This Row],[Start Date]],TODAY(),"Y")</f>
        <v>7</v>
      </c>
      <c r="G665" t="s">
        <v>72</v>
      </c>
      <c r="H665" t="s">
        <v>17</v>
      </c>
      <c r="I665" t="s">
        <v>897</v>
      </c>
      <c r="J665">
        <v>2361</v>
      </c>
      <c r="K665">
        <v>28332</v>
      </c>
      <c r="L665">
        <v>5</v>
      </c>
      <c r="M665">
        <v>0</v>
      </c>
      <c r="N665">
        <v>0</v>
      </c>
      <c r="O665">
        <v>1</v>
      </c>
    </row>
    <row r="666" spans="1:15" x14ac:dyDescent="0.3">
      <c r="A666">
        <v>665</v>
      </c>
      <c r="B666" t="s">
        <v>32</v>
      </c>
      <c r="C666" t="s">
        <v>141</v>
      </c>
      <c r="D666" t="s">
        <v>31</v>
      </c>
      <c r="E666" s="1">
        <v>44141</v>
      </c>
      <c r="F666" s="2">
        <f ca="1">DATEDIF(EmpTable[[#This Row],[Start Date]],TODAY(),"Y")</f>
        <v>5</v>
      </c>
      <c r="G666" t="s">
        <v>27</v>
      </c>
      <c r="H666" t="s">
        <v>17</v>
      </c>
      <c r="I666" t="s">
        <v>41</v>
      </c>
      <c r="J666">
        <v>1797</v>
      </c>
      <c r="K666">
        <v>21564</v>
      </c>
      <c r="L666">
        <v>1</v>
      </c>
      <c r="M666">
        <v>6</v>
      </c>
      <c r="N666">
        <v>0</v>
      </c>
      <c r="O666">
        <v>7</v>
      </c>
    </row>
    <row r="667" spans="1:15" x14ac:dyDescent="0.3">
      <c r="A667">
        <v>666</v>
      </c>
      <c r="B667" t="s">
        <v>63</v>
      </c>
      <c r="C667" t="s">
        <v>866</v>
      </c>
      <c r="D667" t="s">
        <v>31</v>
      </c>
      <c r="E667" s="1">
        <v>43995</v>
      </c>
      <c r="F667" s="2">
        <f ca="1">DATEDIF(EmpTable[[#This Row],[Start Date]],TODAY(),"Y")</f>
        <v>5</v>
      </c>
      <c r="G667" t="s">
        <v>92</v>
      </c>
      <c r="H667" t="s">
        <v>17</v>
      </c>
      <c r="I667" t="s">
        <v>897</v>
      </c>
      <c r="J667">
        <v>2252</v>
      </c>
      <c r="K667">
        <v>27024</v>
      </c>
      <c r="L667">
        <v>3</v>
      </c>
      <c r="M667">
        <v>0</v>
      </c>
      <c r="N667">
        <v>0</v>
      </c>
      <c r="O667">
        <v>2</v>
      </c>
    </row>
    <row r="668" spans="1:15" x14ac:dyDescent="0.3">
      <c r="A668">
        <v>667</v>
      </c>
      <c r="B668" t="s">
        <v>502</v>
      </c>
      <c r="C668" t="s">
        <v>867</v>
      </c>
      <c r="D668" t="s">
        <v>306</v>
      </c>
      <c r="E668" s="1">
        <v>43373</v>
      </c>
      <c r="F668" s="2">
        <f ca="1">DATEDIF(EmpTable[[#This Row],[Start Date]],TODAY(),"Y")</f>
        <v>7</v>
      </c>
      <c r="G668" t="s">
        <v>27</v>
      </c>
      <c r="H668" t="s">
        <v>17</v>
      </c>
      <c r="I668" t="s">
        <v>35</v>
      </c>
      <c r="J668">
        <v>2486</v>
      </c>
      <c r="K668">
        <v>29832</v>
      </c>
      <c r="L668">
        <v>5</v>
      </c>
      <c r="M668">
        <v>5</v>
      </c>
      <c r="N668">
        <v>2</v>
      </c>
      <c r="O668">
        <v>9</v>
      </c>
    </row>
    <row r="669" spans="1:15" x14ac:dyDescent="0.3">
      <c r="A669">
        <v>668</v>
      </c>
      <c r="B669" t="s">
        <v>29</v>
      </c>
      <c r="C669" t="s">
        <v>868</v>
      </c>
      <c r="D669" t="s">
        <v>31</v>
      </c>
      <c r="E669" s="1">
        <v>43995</v>
      </c>
      <c r="F669" s="2">
        <f ca="1">DATEDIF(EmpTable[[#This Row],[Start Date]],TODAY(),"Y")</f>
        <v>5</v>
      </c>
      <c r="G669" t="s">
        <v>27</v>
      </c>
      <c r="H669" t="s">
        <v>17</v>
      </c>
      <c r="I669" t="s">
        <v>35</v>
      </c>
      <c r="J669">
        <v>1197</v>
      </c>
      <c r="K669">
        <v>14364</v>
      </c>
      <c r="L669">
        <v>2</v>
      </c>
      <c r="M669">
        <v>4</v>
      </c>
      <c r="N669">
        <v>0</v>
      </c>
      <c r="O669">
        <v>8</v>
      </c>
    </row>
    <row r="670" spans="1:15" x14ac:dyDescent="0.3">
      <c r="A670">
        <v>669</v>
      </c>
      <c r="B670" t="s">
        <v>869</v>
      </c>
      <c r="C670" t="s">
        <v>870</v>
      </c>
      <c r="D670" t="s">
        <v>306</v>
      </c>
      <c r="E670" s="1">
        <v>43590</v>
      </c>
      <c r="F670" s="2">
        <f ca="1">DATEDIF(EmpTable[[#This Row],[Start Date]],TODAY(),"Y")</f>
        <v>6</v>
      </c>
      <c r="G670" t="s">
        <v>52</v>
      </c>
      <c r="H670" t="s">
        <v>21</v>
      </c>
      <c r="I670" t="s">
        <v>35</v>
      </c>
      <c r="J670">
        <v>3389</v>
      </c>
      <c r="K670">
        <v>40668</v>
      </c>
      <c r="L670">
        <v>3</v>
      </c>
      <c r="M670">
        <v>1</v>
      </c>
      <c r="N670">
        <v>0</v>
      </c>
      <c r="O670">
        <v>7</v>
      </c>
    </row>
    <row r="671" spans="1:15" x14ac:dyDescent="0.3">
      <c r="A671">
        <v>670</v>
      </c>
      <c r="B671" t="s">
        <v>214</v>
      </c>
      <c r="C671" t="s">
        <v>871</v>
      </c>
      <c r="D671" t="s">
        <v>306</v>
      </c>
      <c r="E671" s="1">
        <v>43800</v>
      </c>
      <c r="F671" s="2">
        <f ca="1">DATEDIF(EmpTable[[#This Row],[Start Date]],TODAY(),"Y")</f>
        <v>6</v>
      </c>
      <c r="G671" t="s">
        <v>34</v>
      </c>
      <c r="H671" t="s">
        <v>28</v>
      </c>
      <c r="I671" t="s">
        <v>41</v>
      </c>
      <c r="J671">
        <v>2760</v>
      </c>
      <c r="K671">
        <v>33120</v>
      </c>
      <c r="L671">
        <v>1</v>
      </c>
      <c r="M671">
        <v>6</v>
      </c>
      <c r="N671">
        <v>6</v>
      </c>
      <c r="O671">
        <v>1</v>
      </c>
    </row>
    <row r="672" spans="1:15" x14ac:dyDescent="0.3">
      <c r="A672">
        <v>671</v>
      </c>
      <c r="B672" t="s">
        <v>212</v>
      </c>
      <c r="C672" t="s">
        <v>872</v>
      </c>
      <c r="D672" t="s">
        <v>31</v>
      </c>
      <c r="E672" s="1">
        <v>42992</v>
      </c>
      <c r="F672" s="2">
        <f ca="1">DATEDIF(EmpTable[[#This Row],[Start Date]],TODAY(),"Y")</f>
        <v>8</v>
      </c>
      <c r="G672" t="s">
        <v>87</v>
      </c>
      <c r="H672" t="s">
        <v>21</v>
      </c>
      <c r="I672" t="s">
        <v>41</v>
      </c>
      <c r="J672">
        <v>1232</v>
      </c>
      <c r="K672">
        <v>14784</v>
      </c>
      <c r="L672">
        <v>5</v>
      </c>
      <c r="M672">
        <v>3</v>
      </c>
      <c r="N672">
        <v>0</v>
      </c>
      <c r="O672">
        <v>10</v>
      </c>
    </row>
    <row r="673" spans="1:15" x14ac:dyDescent="0.3">
      <c r="A673">
        <v>672</v>
      </c>
      <c r="B673" t="s">
        <v>605</v>
      </c>
      <c r="C673" t="s">
        <v>873</v>
      </c>
      <c r="D673" t="s">
        <v>306</v>
      </c>
      <c r="E673" s="1">
        <v>43573</v>
      </c>
      <c r="F673" s="2">
        <f ca="1">DATEDIF(EmpTable[[#This Row],[Start Date]],TODAY(),"Y")</f>
        <v>6</v>
      </c>
      <c r="G673" t="s">
        <v>52</v>
      </c>
      <c r="H673" t="s">
        <v>28</v>
      </c>
      <c r="I673" t="s">
        <v>35</v>
      </c>
      <c r="J673">
        <v>1045</v>
      </c>
      <c r="K673">
        <v>12540</v>
      </c>
      <c r="L673">
        <v>5</v>
      </c>
      <c r="M673">
        <v>6</v>
      </c>
      <c r="N673">
        <v>0</v>
      </c>
      <c r="O673">
        <v>4</v>
      </c>
    </row>
    <row r="674" spans="1:15" x14ac:dyDescent="0.3">
      <c r="A674">
        <v>673</v>
      </c>
      <c r="B674" t="s">
        <v>32</v>
      </c>
      <c r="C674" t="s">
        <v>874</v>
      </c>
      <c r="D674" t="s">
        <v>31</v>
      </c>
      <c r="E674" s="1">
        <v>43104</v>
      </c>
      <c r="F674" s="2">
        <f ca="1">DATEDIF(EmpTable[[#This Row],[Start Date]],TODAY(),"Y")</f>
        <v>8</v>
      </c>
      <c r="G674" t="s">
        <v>49</v>
      </c>
      <c r="H674" t="s">
        <v>17</v>
      </c>
      <c r="I674" t="s">
        <v>18</v>
      </c>
      <c r="J674">
        <v>3257</v>
      </c>
      <c r="K674">
        <v>39084</v>
      </c>
      <c r="L674">
        <v>3</v>
      </c>
      <c r="M674">
        <v>0</v>
      </c>
      <c r="N674">
        <v>0</v>
      </c>
      <c r="O674">
        <v>6</v>
      </c>
    </row>
    <row r="675" spans="1:15" x14ac:dyDescent="0.3">
      <c r="A675">
        <v>674</v>
      </c>
      <c r="B675" t="s">
        <v>875</v>
      </c>
      <c r="C675" t="s">
        <v>876</v>
      </c>
      <c r="D675" t="s">
        <v>306</v>
      </c>
      <c r="E675" s="1">
        <v>43160</v>
      </c>
      <c r="F675" s="2">
        <f ca="1">DATEDIF(EmpTable[[#This Row],[Start Date]],TODAY(),"Y")</f>
        <v>7</v>
      </c>
      <c r="G675" t="s">
        <v>52</v>
      </c>
      <c r="H675" t="s">
        <v>17</v>
      </c>
      <c r="I675" t="s">
        <v>59</v>
      </c>
      <c r="J675">
        <v>3026</v>
      </c>
      <c r="K675">
        <v>36312</v>
      </c>
      <c r="L675">
        <v>3</v>
      </c>
      <c r="M675">
        <v>4</v>
      </c>
      <c r="N675">
        <v>0</v>
      </c>
      <c r="O675">
        <v>1</v>
      </c>
    </row>
    <row r="676" spans="1:15" x14ac:dyDescent="0.3">
      <c r="A676">
        <v>675</v>
      </c>
      <c r="B676" t="s">
        <v>877</v>
      </c>
      <c r="C676" t="s">
        <v>878</v>
      </c>
      <c r="D676" t="s">
        <v>306</v>
      </c>
      <c r="E676" s="1">
        <v>43766</v>
      </c>
      <c r="F676" s="2">
        <f ca="1">DATEDIF(EmpTable[[#This Row],[Start Date]],TODAY(),"Y")</f>
        <v>6</v>
      </c>
      <c r="G676" t="s">
        <v>76</v>
      </c>
      <c r="H676" t="s">
        <v>17</v>
      </c>
      <c r="I676" t="s">
        <v>35</v>
      </c>
      <c r="J676">
        <v>1898</v>
      </c>
      <c r="K676">
        <v>22776</v>
      </c>
      <c r="L676">
        <v>4.5</v>
      </c>
      <c r="M676">
        <v>1</v>
      </c>
      <c r="N676">
        <v>0</v>
      </c>
      <c r="O676">
        <v>2</v>
      </c>
    </row>
    <row r="677" spans="1:15" x14ac:dyDescent="0.3">
      <c r="A677">
        <v>676</v>
      </c>
      <c r="B677" t="s">
        <v>879</v>
      </c>
      <c r="C677" t="s">
        <v>880</v>
      </c>
      <c r="D677" t="s">
        <v>31</v>
      </c>
      <c r="E677" s="1">
        <v>43275</v>
      </c>
      <c r="F677" s="2">
        <f ca="1">DATEDIF(EmpTable[[#This Row],[Start Date]],TODAY(),"Y")</f>
        <v>7</v>
      </c>
      <c r="G677" t="s">
        <v>27</v>
      </c>
      <c r="H677" t="s">
        <v>17</v>
      </c>
      <c r="I677" t="s">
        <v>59</v>
      </c>
      <c r="J677">
        <v>2778</v>
      </c>
      <c r="K677">
        <v>33336</v>
      </c>
      <c r="L677">
        <v>3</v>
      </c>
      <c r="M677">
        <v>2</v>
      </c>
      <c r="N677">
        <v>0</v>
      </c>
      <c r="O677">
        <v>20</v>
      </c>
    </row>
    <row r="678" spans="1:15" x14ac:dyDescent="0.3">
      <c r="A678">
        <v>677</v>
      </c>
      <c r="B678" t="s">
        <v>19</v>
      </c>
      <c r="C678" t="s">
        <v>881</v>
      </c>
      <c r="D678" t="s">
        <v>31</v>
      </c>
      <c r="E678" s="1">
        <v>43104</v>
      </c>
      <c r="F678" s="2">
        <f ca="1">DATEDIF(EmpTable[[#This Row],[Start Date]],TODAY(),"Y")</f>
        <v>8</v>
      </c>
      <c r="G678" t="s">
        <v>76</v>
      </c>
      <c r="H678" t="s">
        <v>47</v>
      </c>
      <c r="I678" t="s">
        <v>35</v>
      </c>
      <c r="J678">
        <v>2880</v>
      </c>
      <c r="K678">
        <v>34560</v>
      </c>
      <c r="L678">
        <v>2</v>
      </c>
      <c r="M678">
        <v>4</v>
      </c>
      <c r="N678">
        <v>0</v>
      </c>
      <c r="O678">
        <v>5</v>
      </c>
    </row>
    <row r="679" spans="1:15" x14ac:dyDescent="0.3">
      <c r="A679">
        <v>678</v>
      </c>
      <c r="B679" t="s">
        <v>271</v>
      </c>
      <c r="C679" t="s">
        <v>882</v>
      </c>
      <c r="D679" t="s">
        <v>31</v>
      </c>
      <c r="E679" s="1">
        <v>43538</v>
      </c>
      <c r="F679" s="2">
        <f ca="1">DATEDIF(EmpTable[[#This Row],[Start Date]],TODAY(),"Y")</f>
        <v>6</v>
      </c>
      <c r="G679" t="s">
        <v>352</v>
      </c>
      <c r="H679" t="s">
        <v>21</v>
      </c>
      <c r="I679" t="s">
        <v>41</v>
      </c>
      <c r="J679">
        <v>2815</v>
      </c>
      <c r="K679">
        <v>33780</v>
      </c>
      <c r="L679">
        <v>3</v>
      </c>
      <c r="M679">
        <v>6</v>
      </c>
      <c r="N679">
        <v>0</v>
      </c>
      <c r="O679">
        <v>2</v>
      </c>
    </row>
    <row r="680" spans="1:15" x14ac:dyDescent="0.3">
      <c r="A680">
        <v>679</v>
      </c>
      <c r="B680" t="s">
        <v>883</v>
      </c>
      <c r="C680" t="s">
        <v>884</v>
      </c>
      <c r="D680" t="s">
        <v>306</v>
      </c>
      <c r="E680" s="1">
        <v>43448</v>
      </c>
      <c r="F680" s="2">
        <f ca="1">DATEDIF(EmpTable[[#This Row],[Start Date]],TODAY(),"Y")</f>
        <v>7</v>
      </c>
      <c r="G680" t="s">
        <v>44</v>
      </c>
      <c r="H680" t="s">
        <v>47</v>
      </c>
      <c r="I680" t="s">
        <v>897</v>
      </c>
      <c r="J680">
        <v>1134</v>
      </c>
      <c r="K680">
        <v>13608</v>
      </c>
      <c r="L680">
        <v>2</v>
      </c>
      <c r="M680">
        <v>0</v>
      </c>
      <c r="N680">
        <v>0</v>
      </c>
      <c r="O680">
        <v>14</v>
      </c>
    </row>
    <row r="681" spans="1:15" x14ac:dyDescent="0.3">
      <c r="A681">
        <v>680</v>
      </c>
      <c r="B681" t="s">
        <v>885</v>
      </c>
      <c r="C681" t="s">
        <v>886</v>
      </c>
      <c r="D681" t="s">
        <v>306</v>
      </c>
      <c r="E681" s="1">
        <v>43757</v>
      </c>
      <c r="F681" s="2">
        <f ca="1">DATEDIF(EmpTable[[#This Row],[Start Date]],TODAY(),"Y")</f>
        <v>6</v>
      </c>
      <c r="G681" t="s">
        <v>75</v>
      </c>
      <c r="H681" t="s">
        <v>28</v>
      </c>
      <c r="I681" t="s">
        <v>18</v>
      </c>
      <c r="J681">
        <v>3334</v>
      </c>
      <c r="K681">
        <v>40008</v>
      </c>
      <c r="L681">
        <v>1</v>
      </c>
      <c r="M681">
        <v>0</v>
      </c>
      <c r="N681">
        <v>0</v>
      </c>
      <c r="O681">
        <v>4</v>
      </c>
    </row>
    <row r="682" spans="1:15" x14ac:dyDescent="0.3">
      <c r="A682">
        <v>681</v>
      </c>
      <c r="B682" t="s">
        <v>66</v>
      </c>
      <c r="C682" t="s">
        <v>325</v>
      </c>
      <c r="D682" t="s">
        <v>31</v>
      </c>
      <c r="E682" s="1">
        <v>43981</v>
      </c>
      <c r="F682" s="2">
        <f ca="1">DATEDIF(EmpTable[[#This Row],[Start Date]],TODAY(),"Y")</f>
        <v>5</v>
      </c>
      <c r="G682" t="s">
        <v>27</v>
      </c>
      <c r="H682" t="s">
        <v>47</v>
      </c>
      <c r="I682" t="s">
        <v>897</v>
      </c>
      <c r="J682">
        <v>2574</v>
      </c>
      <c r="K682">
        <v>30888</v>
      </c>
      <c r="L682">
        <v>3</v>
      </c>
      <c r="M682">
        <v>3</v>
      </c>
      <c r="N682">
        <v>0</v>
      </c>
      <c r="O682">
        <v>4</v>
      </c>
    </row>
    <row r="683" spans="1:15" x14ac:dyDescent="0.3">
      <c r="A683">
        <v>682</v>
      </c>
      <c r="B683" t="s">
        <v>326</v>
      </c>
      <c r="C683" t="s">
        <v>887</v>
      </c>
      <c r="D683" t="s">
        <v>31</v>
      </c>
      <c r="E683" s="1">
        <v>43530</v>
      </c>
      <c r="F683" s="2">
        <f ca="1">DATEDIF(EmpTable[[#This Row],[Start Date]],TODAY(),"Y")</f>
        <v>6</v>
      </c>
      <c r="G683" t="s">
        <v>27</v>
      </c>
      <c r="H683" t="s">
        <v>17</v>
      </c>
      <c r="I683" t="s">
        <v>18</v>
      </c>
      <c r="J683">
        <v>1123</v>
      </c>
      <c r="K683">
        <v>13476</v>
      </c>
      <c r="L683">
        <v>1</v>
      </c>
      <c r="M683">
        <v>0</v>
      </c>
      <c r="N683">
        <v>0</v>
      </c>
      <c r="O683">
        <v>7</v>
      </c>
    </row>
    <row r="684" spans="1:15" x14ac:dyDescent="0.3">
      <c r="A684">
        <v>683</v>
      </c>
      <c r="B684" t="s">
        <v>356</v>
      </c>
      <c r="C684" t="s">
        <v>757</v>
      </c>
      <c r="D684" t="s">
        <v>31</v>
      </c>
      <c r="E684" s="1">
        <v>42502</v>
      </c>
      <c r="F684" s="2">
        <f ca="1">DATEDIF(EmpTable[[#This Row],[Start Date]],TODAY(),"Y")</f>
        <v>9</v>
      </c>
      <c r="G684" t="s">
        <v>40</v>
      </c>
      <c r="H684" t="s">
        <v>28</v>
      </c>
      <c r="I684" t="s">
        <v>41</v>
      </c>
      <c r="J684">
        <v>2147</v>
      </c>
      <c r="K684">
        <v>25764</v>
      </c>
      <c r="L684">
        <v>3</v>
      </c>
      <c r="M684">
        <v>0</v>
      </c>
      <c r="N684">
        <v>4</v>
      </c>
      <c r="O684">
        <v>2</v>
      </c>
    </row>
    <row r="685" spans="1:15" x14ac:dyDescent="0.3">
      <c r="A685">
        <v>684</v>
      </c>
      <c r="B685" t="s">
        <v>888</v>
      </c>
      <c r="C685" t="s">
        <v>889</v>
      </c>
      <c r="D685" t="s">
        <v>31</v>
      </c>
      <c r="E685" s="1">
        <v>42913</v>
      </c>
      <c r="F685" s="2">
        <f ca="1">DATEDIF(EmpTable[[#This Row],[Start Date]],TODAY(),"Y")</f>
        <v>8</v>
      </c>
      <c r="G685" t="s">
        <v>49</v>
      </c>
      <c r="H685" t="s">
        <v>17</v>
      </c>
      <c r="I685" t="s">
        <v>41</v>
      </c>
      <c r="J685">
        <v>2929</v>
      </c>
      <c r="K685">
        <v>35148</v>
      </c>
      <c r="L685">
        <v>4.5</v>
      </c>
      <c r="M685">
        <v>0</v>
      </c>
      <c r="N685">
        <v>0</v>
      </c>
      <c r="O685">
        <v>2</v>
      </c>
    </row>
    <row r="686" spans="1:15" x14ac:dyDescent="0.3">
      <c r="A686">
        <v>685</v>
      </c>
      <c r="B686" t="s">
        <v>890</v>
      </c>
      <c r="C686" t="s">
        <v>891</v>
      </c>
      <c r="D686" t="s">
        <v>31</v>
      </c>
      <c r="E686" s="1">
        <v>43977</v>
      </c>
      <c r="F686" s="2">
        <f ca="1">DATEDIF(EmpTable[[#This Row],[Start Date]],TODAY(),"Y")</f>
        <v>5</v>
      </c>
      <c r="G686" t="s">
        <v>57</v>
      </c>
      <c r="H686" t="s">
        <v>293</v>
      </c>
      <c r="I686" t="s">
        <v>59</v>
      </c>
      <c r="J686">
        <v>1452</v>
      </c>
      <c r="K686">
        <v>17424</v>
      </c>
      <c r="L686">
        <v>2</v>
      </c>
      <c r="M686">
        <v>0</v>
      </c>
      <c r="N686">
        <v>3</v>
      </c>
      <c r="O686">
        <v>1</v>
      </c>
    </row>
    <row r="687" spans="1:15" x14ac:dyDescent="0.3">
      <c r="A687">
        <v>686</v>
      </c>
      <c r="B687" t="s">
        <v>892</v>
      </c>
      <c r="C687" t="s">
        <v>893</v>
      </c>
      <c r="D687" t="s">
        <v>31</v>
      </c>
      <c r="E687" s="1">
        <v>43985</v>
      </c>
      <c r="F687" s="2">
        <f ca="1">DATEDIF(EmpTable[[#This Row],[Start Date]],TODAY(),"Y")</f>
        <v>5</v>
      </c>
      <c r="G687" t="s">
        <v>52</v>
      </c>
      <c r="H687" t="s">
        <v>17</v>
      </c>
      <c r="I687" t="s">
        <v>35</v>
      </c>
      <c r="J687">
        <v>3237</v>
      </c>
      <c r="K687">
        <v>38844</v>
      </c>
      <c r="L687">
        <v>3</v>
      </c>
      <c r="M687">
        <v>1</v>
      </c>
      <c r="N687">
        <v>0</v>
      </c>
      <c r="O687">
        <v>4</v>
      </c>
    </row>
    <row r="688" spans="1:15" x14ac:dyDescent="0.3">
      <c r="A688">
        <v>687</v>
      </c>
      <c r="B688" t="s">
        <v>289</v>
      </c>
      <c r="C688" t="s">
        <v>894</v>
      </c>
      <c r="D688" t="s">
        <v>31</v>
      </c>
      <c r="E688" s="1">
        <v>42927</v>
      </c>
      <c r="F688" s="2">
        <f ca="1">DATEDIF(EmpTable[[#This Row],[Start Date]],TODAY(),"Y")</f>
        <v>8</v>
      </c>
      <c r="G688" t="s">
        <v>52</v>
      </c>
      <c r="H688" t="s">
        <v>17</v>
      </c>
      <c r="I688" t="s">
        <v>35</v>
      </c>
      <c r="J688">
        <v>2819</v>
      </c>
      <c r="K688">
        <v>33828</v>
      </c>
      <c r="L688">
        <v>5</v>
      </c>
      <c r="M688">
        <v>0</v>
      </c>
      <c r="N688">
        <v>0</v>
      </c>
      <c r="O688">
        <v>0</v>
      </c>
    </row>
    <row r="689" spans="1:15" x14ac:dyDescent="0.3">
      <c r="A689">
        <v>688</v>
      </c>
      <c r="B689" t="s">
        <v>32</v>
      </c>
      <c r="C689" t="s">
        <v>895</v>
      </c>
      <c r="D689" t="s">
        <v>31</v>
      </c>
      <c r="E689" s="1">
        <v>43250</v>
      </c>
      <c r="F689" s="2">
        <f ca="1">DATEDIF(EmpTable[[#This Row],[Start Date]],TODAY(),"Y")</f>
        <v>7</v>
      </c>
      <c r="G689" t="s">
        <v>117</v>
      </c>
      <c r="H689" t="s">
        <v>17</v>
      </c>
      <c r="I689" t="s">
        <v>35</v>
      </c>
      <c r="J689">
        <v>2069</v>
      </c>
      <c r="K689">
        <v>24828</v>
      </c>
      <c r="L689">
        <v>3</v>
      </c>
      <c r="M689">
        <v>0</v>
      </c>
      <c r="N689">
        <v>0</v>
      </c>
      <c r="O689">
        <v>10</v>
      </c>
    </row>
    <row r="690" spans="1:15" x14ac:dyDescent="0.3">
      <c r="A690">
        <v>689</v>
      </c>
      <c r="B690" t="s">
        <v>896</v>
      </c>
      <c r="C690" t="s">
        <v>503</v>
      </c>
      <c r="D690" t="s">
        <v>31</v>
      </c>
      <c r="E690" s="1">
        <v>44048</v>
      </c>
      <c r="F690" s="2">
        <f ca="1">DATEDIF(EmpTable[[#This Row],[Start Date]],TODAY(),"Y")</f>
        <v>5</v>
      </c>
      <c r="G690" t="s">
        <v>49</v>
      </c>
      <c r="H690" t="s">
        <v>28</v>
      </c>
      <c r="I690" t="s">
        <v>35</v>
      </c>
      <c r="J690">
        <v>2606</v>
      </c>
      <c r="K690">
        <v>31272</v>
      </c>
      <c r="L690">
        <v>5</v>
      </c>
      <c r="M690">
        <v>0</v>
      </c>
      <c r="N690">
        <v>0</v>
      </c>
      <c r="O690">
        <v>0</v>
      </c>
    </row>
  </sheetData>
  <conditionalFormatting sqref="G1 G691:G1048576">
    <cfRule type="containsText" dxfId="4" priority="5" operator="containsText" text="sales">
      <formula>NOT(ISERROR(SEARCH("sales",G1)))</formula>
    </cfRule>
    <cfRule type="containsText" dxfId="3" priority="6" operator="containsText" text="IT">
      <formula>NOT(ISERROR(SEARCH("IT",G1)))</formula>
    </cfRule>
  </conditionalFormatting>
  <conditionalFormatting sqref="L691:L1048576">
    <cfRule type="top10" dxfId="2" priority="8" rank="4"/>
    <cfRule type="top10" dxfId="1" priority="9" rank="2"/>
    <cfRule type="cellIs" dxfId="0" priority="10" operator="greaterThan">
      <formula>3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C22D-3B6A-4304-B0F5-A21A1F17AFE9}">
  <dimension ref="A3:G33"/>
  <sheetViews>
    <sheetView workbookViewId="0">
      <selection activeCell="A16" sqref="A16"/>
    </sheetView>
  </sheetViews>
  <sheetFormatPr defaultRowHeight="15.6" x14ac:dyDescent="0.3"/>
  <cols>
    <col min="1" max="1" width="10.5" bestFit="1" customWidth="1"/>
    <col min="2" max="2" width="9" bestFit="1" customWidth="1"/>
    <col min="3" max="3" width="8.09765625" bestFit="1" customWidth="1"/>
    <col min="4" max="4" width="11.5" bestFit="1" customWidth="1"/>
    <col min="5" max="5" width="12.296875" bestFit="1" customWidth="1"/>
    <col min="6" max="6" width="20" bestFit="1" customWidth="1"/>
    <col min="7" max="7" width="18.8984375" bestFit="1" customWidth="1"/>
    <col min="8" max="10" width="1.8984375" bestFit="1" customWidth="1"/>
    <col min="11" max="100" width="2.8984375" bestFit="1" customWidth="1"/>
    <col min="101" max="690" width="3.8984375" bestFit="1" customWidth="1"/>
    <col min="691" max="691" width="10.8984375" bestFit="1" customWidth="1"/>
  </cols>
  <sheetData>
    <row r="3" spans="1:7" x14ac:dyDescent="0.3">
      <c r="A3" s="93" t="s">
        <v>991</v>
      </c>
      <c r="B3" t="s">
        <v>994</v>
      </c>
    </row>
    <row r="4" spans="1:7" x14ac:dyDescent="0.3">
      <c r="A4" s="94" t="s">
        <v>17</v>
      </c>
      <c r="B4">
        <v>134166</v>
      </c>
    </row>
    <row r="5" spans="1:7" x14ac:dyDescent="0.3">
      <c r="A5" s="94" t="s">
        <v>28</v>
      </c>
      <c r="B5">
        <v>49299</v>
      </c>
      <c r="E5" s="93" t="s">
        <v>991</v>
      </c>
      <c r="F5" t="s">
        <v>995</v>
      </c>
    </row>
    <row r="6" spans="1:7" x14ac:dyDescent="0.3">
      <c r="A6" s="94" t="s">
        <v>21</v>
      </c>
      <c r="B6">
        <v>31411</v>
      </c>
      <c r="E6" s="94" t="s">
        <v>306</v>
      </c>
      <c r="F6">
        <v>240</v>
      </c>
    </row>
    <row r="7" spans="1:7" x14ac:dyDescent="0.3">
      <c r="A7" s="94" t="s">
        <v>47</v>
      </c>
      <c r="B7">
        <v>18858</v>
      </c>
      <c r="E7" s="94" t="s">
        <v>31</v>
      </c>
      <c r="F7">
        <v>449</v>
      </c>
    </row>
    <row r="8" spans="1:7" x14ac:dyDescent="0.3">
      <c r="A8" s="94" t="s">
        <v>293</v>
      </c>
      <c r="B8">
        <v>3971</v>
      </c>
      <c r="E8" s="94" t="s">
        <v>993</v>
      </c>
      <c r="F8">
        <v>689</v>
      </c>
    </row>
    <row r="9" spans="1:7" x14ac:dyDescent="0.3">
      <c r="A9" s="94" t="s">
        <v>993</v>
      </c>
      <c r="B9">
        <v>237705</v>
      </c>
    </row>
    <row r="13" spans="1:7" x14ac:dyDescent="0.3">
      <c r="E13" s="93" t="s">
        <v>991</v>
      </c>
      <c r="F13" t="s">
        <v>996</v>
      </c>
      <c r="G13" t="s">
        <v>997</v>
      </c>
    </row>
    <row r="14" spans="1:7" x14ac:dyDescent="0.3">
      <c r="E14" s="95">
        <v>5</v>
      </c>
      <c r="F14">
        <v>302990</v>
      </c>
      <c r="G14">
        <v>3635880</v>
      </c>
    </row>
    <row r="15" spans="1:7" x14ac:dyDescent="0.3">
      <c r="E15" s="95">
        <v>6</v>
      </c>
      <c r="F15">
        <v>469141</v>
      </c>
      <c r="G15">
        <v>5629692</v>
      </c>
    </row>
    <row r="16" spans="1:7" x14ac:dyDescent="0.3">
      <c r="A16" s="84"/>
      <c r="B16" s="85"/>
      <c r="C16" s="86"/>
      <c r="E16" s="95">
        <v>7</v>
      </c>
      <c r="F16">
        <v>343267</v>
      </c>
      <c r="G16">
        <v>4119204</v>
      </c>
    </row>
    <row r="17" spans="1:7" x14ac:dyDescent="0.3">
      <c r="A17" s="87"/>
      <c r="B17" s="88"/>
      <c r="C17" s="89"/>
      <c r="E17" s="95">
        <v>8</v>
      </c>
      <c r="F17">
        <v>173021</v>
      </c>
      <c r="G17">
        <v>2076252</v>
      </c>
    </row>
    <row r="18" spans="1:7" x14ac:dyDescent="0.3">
      <c r="A18" s="87"/>
      <c r="B18" s="88"/>
      <c r="C18" s="89"/>
      <c r="E18" s="95">
        <v>9</v>
      </c>
      <c r="F18">
        <v>117264</v>
      </c>
      <c r="G18">
        <v>1407168</v>
      </c>
    </row>
    <row r="19" spans="1:7" x14ac:dyDescent="0.3">
      <c r="A19" s="87"/>
      <c r="B19" s="88"/>
      <c r="C19" s="89"/>
      <c r="E19" s="95">
        <v>10</v>
      </c>
      <c r="F19">
        <v>19308</v>
      </c>
      <c r="G19">
        <v>231696</v>
      </c>
    </row>
    <row r="20" spans="1:7" x14ac:dyDescent="0.3">
      <c r="A20" s="87"/>
      <c r="B20" s="88"/>
      <c r="C20" s="89"/>
      <c r="E20" s="95" t="s">
        <v>993</v>
      </c>
      <c r="F20">
        <v>1424991</v>
      </c>
      <c r="G20">
        <v>17099892</v>
      </c>
    </row>
    <row r="21" spans="1:7" x14ac:dyDescent="0.3">
      <c r="A21" s="87"/>
      <c r="B21" s="88"/>
      <c r="C21" s="89"/>
    </row>
    <row r="22" spans="1:7" x14ac:dyDescent="0.3">
      <c r="A22" s="87"/>
      <c r="B22" s="88"/>
      <c r="C22" s="89"/>
    </row>
    <row r="23" spans="1:7" x14ac:dyDescent="0.3">
      <c r="A23" s="87"/>
      <c r="B23" s="88"/>
      <c r="C23" s="89"/>
    </row>
    <row r="24" spans="1:7" x14ac:dyDescent="0.3">
      <c r="A24" s="87"/>
      <c r="B24" s="88"/>
      <c r="C24" s="89"/>
    </row>
    <row r="25" spans="1:7" x14ac:dyDescent="0.3">
      <c r="A25" s="87"/>
      <c r="B25" s="88"/>
      <c r="C25" s="89"/>
    </row>
    <row r="26" spans="1:7" x14ac:dyDescent="0.3">
      <c r="A26" s="87"/>
      <c r="B26" s="88"/>
      <c r="C26" s="89"/>
    </row>
    <row r="27" spans="1:7" x14ac:dyDescent="0.3">
      <c r="A27" s="87"/>
      <c r="B27" s="88"/>
      <c r="C27" s="89"/>
    </row>
    <row r="28" spans="1:7" x14ac:dyDescent="0.3">
      <c r="A28" s="87"/>
      <c r="B28" s="88"/>
      <c r="C28" s="89"/>
    </row>
    <row r="29" spans="1:7" x14ac:dyDescent="0.3">
      <c r="A29" s="87"/>
      <c r="B29" s="88"/>
      <c r="C29" s="89"/>
    </row>
    <row r="30" spans="1:7" x14ac:dyDescent="0.3">
      <c r="A30" s="87"/>
      <c r="B30" s="88"/>
      <c r="C30" s="89"/>
    </row>
    <row r="31" spans="1:7" x14ac:dyDescent="0.3">
      <c r="A31" s="87"/>
      <c r="B31" s="88"/>
      <c r="C31" s="89"/>
    </row>
    <row r="32" spans="1:7" x14ac:dyDescent="0.3">
      <c r="A32" s="87"/>
      <c r="B32" s="88"/>
      <c r="C32" s="89"/>
    </row>
    <row r="33" spans="1:3" x14ac:dyDescent="0.3">
      <c r="A33" s="90"/>
      <c r="B33" s="91"/>
      <c r="C33" s="9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C7D2354B-C2C2-4675-A0E4-CFE2A3300C0E}">
  <ds:schemaRefs/>
</ds:datastoreItem>
</file>

<file path=customXml/itemProps2.xml><?xml version="1.0" encoding="utf-8"?>
<ds:datastoreItem xmlns:ds="http://schemas.openxmlformats.org/officeDocument/2006/customXml" ds:itemID="{472E69FD-883E-423C-8FD1-6D4F0943FBB7}">
  <ds:schemaRefs/>
</ds:datastoreItem>
</file>

<file path=customXml/itemProps3.xml><?xml version="1.0" encoding="utf-8"?>
<ds:datastoreItem xmlns:ds="http://schemas.openxmlformats.org/officeDocument/2006/customXml" ds:itemID="{4C0F6885-8FEA-47FB-BAE9-4C2742BCD583}">
  <ds:schemaRefs/>
</ds:datastoreItem>
</file>

<file path=customXml/itemProps4.xml><?xml version="1.0" encoding="utf-8"?>
<ds:datastoreItem xmlns:ds="http://schemas.openxmlformats.org/officeDocument/2006/customXml" ds:itemID="{1DFA0420-84D8-49A6-A383-3565D85E6B76}">
  <ds:schemaRefs/>
</ds:datastoreItem>
</file>

<file path=customXml/itemProps5.xml><?xml version="1.0" encoding="utf-8"?>
<ds:datastoreItem xmlns:ds="http://schemas.openxmlformats.org/officeDocument/2006/customXml" ds:itemID="{1B06BA27-D1CA-4126-897A-479C30ACFF0C}">
  <ds:schemaRefs/>
</ds:datastoreItem>
</file>

<file path=customXml/itemProps6.xml><?xml version="1.0" encoding="utf-8"?>
<ds:datastoreItem xmlns:ds="http://schemas.openxmlformats.org/officeDocument/2006/customXml" ds:itemID="{529BB753-A6B9-4276-891E-F2AB934AF5AB}">
  <ds:schemaRefs/>
</ds:datastoreItem>
</file>

<file path=customXml/itemProps7.xml><?xml version="1.0" encoding="utf-8"?>
<ds:datastoreItem xmlns:ds="http://schemas.openxmlformats.org/officeDocument/2006/customXml" ds:itemID="{DFCF277B-24A8-4562-81DA-60632B3AE8F4}">
  <ds:schemaRefs/>
</ds:datastoreItem>
</file>

<file path=customXml/itemProps8.xml><?xml version="1.0" encoding="utf-8"?>
<ds:datastoreItem xmlns:ds="http://schemas.openxmlformats.org/officeDocument/2006/customXml" ds:itemID="{F98E762B-8D52-44DA-83B2-62335FA4056D}">
  <ds:schemaRefs/>
</ds:datastoreItem>
</file>

<file path=customXml/itemProps9.xml><?xml version="1.0" encoding="utf-8"?>
<ds:datastoreItem xmlns:ds="http://schemas.openxmlformats.org/officeDocument/2006/customXml" ds:itemID="{A75D685F-390F-4B10-A574-A89C1639A219}">
  <ds:schemaRefs/>
</ds:datastoreItem>
</file>

<file path=customXml/itemProps10.xml><?xml version="1.0" encoding="utf-8"?>
<ds:datastoreItem xmlns:ds="http://schemas.openxmlformats.org/officeDocument/2006/customXml" ds:itemID="{D729F561-3D68-4F58-89BE-596A452F017B}">
  <ds:schemaRefs/>
</ds:datastoreItem>
</file>

<file path=customXml/itemProps11.xml><?xml version="1.0" encoding="utf-8"?>
<ds:datastoreItem xmlns:ds="http://schemas.openxmlformats.org/officeDocument/2006/customXml" ds:itemID="{BEB23F88-A53D-4B77-A2BD-854C80214F77}">
  <ds:schemaRefs/>
</ds:datastoreItem>
</file>

<file path=customXml/itemProps12.xml><?xml version="1.0" encoding="utf-8"?>
<ds:datastoreItem xmlns:ds="http://schemas.openxmlformats.org/officeDocument/2006/customXml" ds:itemID="{574348FB-A17C-480B-AAE7-78A906104703}">
  <ds:schemaRefs/>
</ds:datastoreItem>
</file>

<file path=customXml/itemProps13.xml><?xml version="1.0" encoding="utf-8"?>
<ds:datastoreItem xmlns:ds="http://schemas.openxmlformats.org/officeDocument/2006/customXml" ds:itemID="{3687DAC2-5980-401E-BB0D-5FE50AC2CA13}">
  <ds:schemaRefs/>
</ds:datastoreItem>
</file>

<file path=customXml/itemProps14.xml><?xml version="1.0" encoding="utf-8"?>
<ds:datastoreItem xmlns:ds="http://schemas.openxmlformats.org/officeDocument/2006/customXml" ds:itemID="{AC57C894-388E-45C8-AA3A-A4BCA540E239}">
  <ds:schemaRefs/>
</ds:datastoreItem>
</file>

<file path=customXml/itemProps15.xml><?xml version="1.0" encoding="utf-8"?>
<ds:datastoreItem xmlns:ds="http://schemas.openxmlformats.org/officeDocument/2006/customXml" ds:itemID="{977E0E37-ECA4-4444-9809-6C2BCF37407B}">
  <ds:schemaRefs/>
</ds:datastoreItem>
</file>

<file path=customXml/itemProps16.xml><?xml version="1.0" encoding="utf-8"?>
<ds:datastoreItem xmlns:ds="http://schemas.openxmlformats.org/officeDocument/2006/customXml" ds:itemID="{B15F8F14-4D5E-4D0D-B1AB-182DB9AA41FF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Functions</vt:lpstr>
      <vt:lpstr>Sheet9</vt:lpstr>
      <vt:lpstr>Sheet6</vt:lpstr>
      <vt:lpstr>Employees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 Saffan</dc:creator>
  <cp:lastModifiedBy>omar ismail</cp:lastModifiedBy>
  <dcterms:created xsi:type="dcterms:W3CDTF">2021-01-14T04:56:01Z</dcterms:created>
  <dcterms:modified xsi:type="dcterms:W3CDTF">2026-02-27T05:58:22Z</dcterms:modified>
</cp:coreProperties>
</file>